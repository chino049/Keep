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Profit and Loss" sheetId="1" r:id="rId1"/>
  </sheets>
  <calcPr calcId="162913"/>
</workbook>
</file>

<file path=xl/sharedStrings.xml><?xml version="1.0" encoding="utf-8"?>
<sst xmlns="http://schemas.openxmlformats.org/spreadsheetml/2006/main" count="43" uniqueCount="43">
  <si>
    <t>Profit and Loss</t>
  </si>
  <si>
    <t>Patinio</t>
  </si>
  <si>
    <t>For the year ended 31 December 2018</t>
  </si>
  <si>
    <t>Account</t>
  </si>
  <si>
    <t>Jan 2018</t>
  </si>
  <si>
    <t>Feb 2018</t>
  </si>
  <si>
    <t>Mar 2018</t>
  </si>
  <si>
    <t>Apr 2018</t>
  </si>
  <si>
    <t>May 2018</t>
  </si>
  <si>
    <t>Jun 2018</t>
  </si>
  <si>
    <t>Jul 2018</t>
  </si>
  <si>
    <t>Aug 2018</t>
  </si>
  <si>
    <t>Sep 2018</t>
  </si>
  <si>
    <t>Oct 2018</t>
  </si>
  <si>
    <t>Nov 2018</t>
  </si>
  <si>
    <t>Dec 2018</t>
  </si>
  <si>
    <t>Year to date</t>
  </si>
  <si>
    <t>Trading Income</t>
  </si>
  <si>
    <t>Sales</t>
  </si>
  <si>
    <t>Total Trading Income</t>
  </si>
  <si>
    <t>Gross Profit</t>
  </si>
  <si>
    <t>Operating Expenses</t>
  </si>
  <si>
    <t>Building Insurance</t>
  </si>
  <si>
    <t>Christmas Gifts</t>
  </si>
  <si>
    <t>Cleaning</t>
  </si>
  <si>
    <t>Food</t>
  </si>
  <si>
    <t>Garbage</t>
  </si>
  <si>
    <t>General Expenses</t>
  </si>
  <si>
    <t>Health Insurance</t>
  </si>
  <si>
    <t>Income Tax Expense</t>
  </si>
  <si>
    <t>Labor</t>
  </si>
  <si>
    <t>Legal expenses</t>
  </si>
  <si>
    <t>Materials, Repairs and Maintenance</t>
  </si>
  <si>
    <t>Meralco, Light, Power, Heating</t>
  </si>
  <si>
    <t>Payment to Owners</t>
  </si>
  <si>
    <t>Printing &amp; Stationery</t>
  </si>
  <si>
    <t>Subscriptions</t>
  </si>
  <si>
    <t>Taxes and Licenses</t>
  </si>
  <si>
    <t>Tranportation allowance, Travel - National</t>
  </si>
  <si>
    <t>Wages and Salaries</t>
  </si>
  <si>
    <t>Water</t>
  </si>
  <si>
    <t>Total Operating Expenses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</si>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</sst>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;(#,##0.00)"/>
  </numFmts>
  <fonts count="6">
    <font>
      <name val="Arial"/>
      <color theme="1"/>
      <sz val="11"/>
    </font>
    <font>
      <name val="Arial"/>
      <b/>
      <color theme="1"/>
      <sz val="20"/>
    </font>
    <font>
      <name val="Arial"/>
      <color theme="1"/>
      <sz val="14"/>
    </font>
    <font>
      <name val="Arial"/>
      <b/>
      <color theme="1"/>
      <sz val="8"/>
    </font>
    <font>
      <name val="Arial"/>
      <b/>
      <color theme="1"/>
      <sz val="10"/>
    </font>
    <font>
      <name val="Arial"/>
      <color theme="1"/>
      <sz val="8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 applyAlignment="true">
      <alignment vertical="center" wrapText="true"/>
    </xf>
    <xf numFmtId="0" fontId="2" fillId="0" borderId="0" xfId="0" applyFont="true" applyAlignment="true">
      <alignment vertical="center" wrapText="true"/>
    </xf>
    <xf numFmtId="0" fontId="3" fillId="0" borderId="1" xfId="0" applyFont="true" applyBorder="true" applyAlignment="true">
      <alignment horizontal="left" vertical="center"/>
    </xf>
    <xf numFmtId="0" fontId="3" fillId="0" borderId="1" xfId="0" applyFont="true" applyBorder="true" applyAlignment="true">
      <alignment horizontal="right" vertical="center"/>
    </xf>
    <xf numFmtId="0" fontId="4" fillId="0" borderId="1" xfId="0" applyFont="true" applyBorder="true" applyAlignment="true">
      <alignment vertical="center" wrapText="true"/>
    </xf>
    <xf numFmtId="0" fontId="5" fillId="0" borderId="0" xfId="0" applyFont="true" applyAlignment="true">
      <alignment vertical="center"/>
    </xf>
    <xf numFmtId="164" fontId="5" fillId="0" borderId="0" xfId="0" applyNumberFormat="true" applyFont="true" applyAlignment="true">
      <alignment horizontal="right" vertical="center"/>
    </xf>
    <xf numFmtId="0" fontId="3" fillId="0" borderId="2" xfId="0" applyFont="true" applyBorder="true" applyAlignment="true">
      <alignment vertical="center"/>
    </xf>
    <xf numFmtId="164" fontId="3" fillId="0" borderId="2" xfId="0" applyNumberFormat="true" applyFont="true" applyBorder="true" applyAlignment="true">
      <alignment horizontal="right" vertical="center"/>
    </xf>
    <xf numFmtId="0" fontId="3" fillId="2" borderId="3" xfId="0" applyFont="true" applyFill="true" applyBorder="true" applyAlignment="true">
      <alignment vertical="center"/>
    </xf>
    <xf numFmtId="164" fontId="3" fillId="2" borderId="3" xfId="0" applyNumberFormat="true" applyFont="true" applyFill="true" applyBorder="true" applyAlignment="true">
      <alignment horizontal="right" vertical="center"/>
    </xf>
    <xf numFmtId="0" fontId="5" fillId="0" borderId="2" xfId="0" applyFont="true" applyBorder="true" applyAlignment="true">
      <alignment vertical="center"/>
    </xf>
    <xf numFmtId="164" fontId="5" fillId="0" borderId="2" xfId="0" applyNumberFormat="true" applyFont="true" applyBorder="true" applyAlignment="true">
      <alignment horizontal="right" vertical="center"/>
    </xf>
  </cellXfs>
  <cellStyles count="1">
    <cellStyle name="Normal" xfId="0" builtinId="0" customBuiltin="true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N35"/>
  <sheetViews>
    <sheetView tabSelected="1" workbookViewId="0" topLeftCell="A1" zoomScaleNormal="150" zoomScaleSheetLayoutView="60" showGridLines="0" zoomScale="150" view="normal"/>
  </sheetViews>
  <sheetFormatPr defaultRowHeight="12.75"/>
  <cols>
    <col min="1" max="1" width="26.875" customWidth="1"/>
    <col min="2" max="13" width="8.50390625" customWidth="1"/>
    <col min="14" max="14" width="9.875" customWidth="1"/>
  </cols>
  <sheetData>
    <row r="1" ht="25.45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18" customHeight="tru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18" customHeight="true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ht="13.35" customHeight="true"/>
    <row r="5" ht="10.55" customHeight="true">
      <c r="A5" s="3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</row>
    <row r="6" ht="13.35" customHeight="true"/>
    <row r="7" ht="13" customHeight="true">
      <c r="A7" s="5" t="s">
        <v>17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ht="10.55" customHeight="true">
      <c r="A8" s="6" t="s">
        <v>18</v>
      </c>
      <c r="B8" s="7">
        <v>120660.3200</v>
      </c>
      <c r="C8" s="7">
        <v>125471.1700</v>
      </c>
      <c r="D8" s="7">
        <v>128757.0000</v>
      </c>
      <c r="E8" s="7">
        <v>141596.0000</v>
      </c>
      <c r="F8" s="7">
        <v>139264.0000</v>
      </c>
      <c r="G8" s="7">
        <v>139189.0000</v>
      </c>
      <c r="H8" s="7">
        <v>133619.4400</v>
      </c>
      <c r="I8" s="7">
        <v>132676.7000</v>
      </c>
      <c r="J8" s="7">
        <v>130444.4400</v>
      </c>
      <c r="K8" s="7">
        <v>135758.0000</v>
      </c>
      <c r="L8" s="7">
        <v>133370.0000</v>
      </c>
      <c r="M8" s="7">
        <v>131785.8500</v>
      </c>
      <c r="N8" s="7">
        <v>1592591.9200</v>
      </c>
    </row>
    <row r="9" ht="10.55" customHeight="true">
      <c r="A9" s="8" t="s">
        <v>19</v>
      </c>
      <c r="B9" s="9">
        <f ca="1">B8</f>
        <v>0</v>
      </c>
      <c r="C9" s="9">
        <f ca="1">C8</f>
        <v>0</v>
      </c>
      <c r="D9" s="9">
        <f ca="1">D8</f>
        <v>0</v>
      </c>
      <c r="E9" s="9">
        <f ca="1">E8</f>
        <v>0</v>
      </c>
      <c r="F9" s="9">
        <f ca="1">F8</f>
        <v>0</v>
      </c>
      <c r="G9" s="9">
        <f ca="1">G8</f>
        <v>0</v>
      </c>
      <c r="H9" s="9">
        <f ca="1">H8</f>
        <v>0</v>
      </c>
      <c r="I9" s="9">
        <f ca="1">I8</f>
        <v>0</v>
      </c>
      <c r="J9" s="9">
        <f ca="1">J8</f>
        <v>0</v>
      </c>
      <c r="K9" s="9">
        <f ca="1">K8</f>
        <v>0</v>
      </c>
      <c r="L9" s="9">
        <f ca="1">L8</f>
        <v>0</v>
      </c>
      <c r="M9" s="9">
        <f ca="1">M8</f>
        <v>0</v>
      </c>
      <c r="N9" s="9">
        <f ca="1">N8</f>
        <v>0</v>
      </c>
    </row>
    <row r="10" ht="13.35" customHeight="true"/>
    <row r="11" ht="10.55" customHeight="true">
      <c r="A11" s="10" t="s">
        <v>20</v>
      </c>
      <c r="B11" s="11">
        <f ca="1">(B9 - 0)</f>
        <v>0</v>
      </c>
      <c r="C11" s="11">
        <f ca="1">(C9 - 0)</f>
        <v>0</v>
      </c>
      <c r="D11" s="11">
        <f ca="1">(D9 - 0)</f>
        <v>0</v>
      </c>
      <c r="E11" s="11">
        <f ca="1">(E9 - 0)</f>
        <v>0</v>
      </c>
      <c r="F11" s="11">
        <f ca="1">(F9 - 0)</f>
        <v>0</v>
      </c>
      <c r="G11" s="11">
        <f ca="1">(G9 - 0)</f>
        <v>0</v>
      </c>
      <c r="H11" s="11">
        <f ca="1">(H9 - 0)</f>
        <v>0</v>
      </c>
      <c r="I11" s="11">
        <f ca="1">(I9 - 0)</f>
        <v>0</v>
      </c>
      <c r="J11" s="11">
        <f ca="1">(J9 - 0)</f>
        <v>0</v>
      </c>
      <c r="K11" s="11">
        <f ca="1">(K9 - 0)</f>
        <v>0</v>
      </c>
      <c r="L11" s="11">
        <f ca="1">(L9 - 0)</f>
        <v>0</v>
      </c>
      <c r="M11" s="11">
        <f ca="1">(M9 - 0)</f>
        <v>0</v>
      </c>
      <c r="N11" s="11">
        <f ca="1">(N9 - 0)</f>
        <v>0</v>
      </c>
    </row>
    <row r="12" ht="13.35" customHeight="true"/>
    <row r="13" ht="13" customHeight="true">
      <c r="A13" s="5" t="s">
        <v>21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 ht="10.55" customHeight="true">
      <c r="A14" s="6" t="s">
        <v>22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19131.7000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19131.7000</v>
      </c>
    </row>
    <row r="15" ht="10.55" customHeight="true">
      <c r="A15" s="12" t="s">
        <v>23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42195.0000</v>
      </c>
      <c r="M15" s="13">
        <v>9400.0000</v>
      </c>
      <c r="N15" s="13">
        <v>51595.0000</v>
      </c>
    </row>
    <row r="16" ht="10.55" customHeight="true">
      <c r="A16" s="12" t="s">
        <v>24</v>
      </c>
      <c r="B16" s="13">
        <v>0</v>
      </c>
      <c r="C16" s="13">
        <v>280.0000</v>
      </c>
      <c r="D16" s="13">
        <v>500.0000</v>
      </c>
      <c r="E16" s="13">
        <v>280.0000</v>
      </c>
      <c r="F16" s="13">
        <v>1290.0000</v>
      </c>
      <c r="G16" s="13">
        <v>500.0000</v>
      </c>
      <c r="H16" s="13">
        <v>0</v>
      </c>
      <c r="I16" s="13">
        <v>1000.0000</v>
      </c>
      <c r="J16" s="13">
        <v>0</v>
      </c>
      <c r="K16" s="13">
        <v>400.0000</v>
      </c>
      <c r="L16" s="13">
        <v>0</v>
      </c>
      <c r="M16" s="13">
        <v>540.0000</v>
      </c>
      <c r="N16" s="13">
        <v>4790.0000</v>
      </c>
    </row>
    <row r="17" ht="10.55" customHeight="true">
      <c r="A17" s="12" t="s">
        <v>25</v>
      </c>
      <c r="B17" s="13">
        <v>0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1800.0000</v>
      </c>
      <c r="N17" s="13">
        <v>1800.0000</v>
      </c>
    </row>
    <row r="18" ht="10.55" customHeight="true">
      <c r="A18" s="12" t="s">
        <v>26</v>
      </c>
      <c r="B18" s="13">
        <v>0</v>
      </c>
      <c r="C18" s="13">
        <v>0</v>
      </c>
      <c r="D18" s="13">
        <v>0</v>
      </c>
      <c r="E18" s="13">
        <v>0</v>
      </c>
      <c r="F18" s="13">
        <v>960.0000</v>
      </c>
      <c r="G18" s="13">
        <v>500.0000</v>
      </c>
      <c r="H18" s="13">
        <v>0</v>
      </c>
      <c r="I18" s="13">
        <v>0</v>
      </c>
      <c r="J18" s="13">
        <v>900.0000</v>
      </c>
      <c r="K18" s="13">
        <v>560.0000</v>
      </c>
      <c r="L18" s="13">
        <v>0</v>
      </c>
      <c r="M18" s="13">
        <v>0</v>
      </c>
      <c r="N18" s="13">
        <v>2920.0000</v>
      </c>
    </row>
    <row r="19" ht="10.55" customHeight="true">
      <c r="A19" s="12" t="s">
        <v>27</v>
      </c>
      <c r="B19" s="13">
        <v>10000.0000</v>
      </c>
      <c r="C19" s="13">
        <v>0</v>
      </c>
      <c r="D19" s="13">
        <v>261250.0000</v>
      </c>
      <c r="E19" s="13">
        <v>52000.0000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323250.0000</v>
      </c>
    </row>
    <row r="20" ht="10.55" customHeight="true">
      <c r="A20" s="12" t="s">
        <v>28</v>
      </c>
      <c r="B20" s="13">
        <v>2400.0000</v>
      </c>
      <c r="C20" s="13">
        <v>0</v>
      </c>
      <c r="D20" s="13">
        <v>990.0000</v>
      </c>
      <c r="E20" s="13">
        <v>0</v>
      </c>
      <c r="F20" s="13">
        <v>0</v>
      </c>
      <c r="G20" s="13">
        <v>990.0000</v>
      </c>
      <c r="H20" s="13">
        <v>0</v>
      </c>
      <c r="I20" s="13">
        <v>0</v>
      </c>
      <c r="J20" s="13">
        <v>0</v>
      </c>
      <c r="K20" s="13">
        <v>990.0000</v>
      </c>
      <c r="L20" s="13">
        <v>0</v>
      </c>
      <c r="M20" s="13">
        <v>0</v>
      </c>
      <c r="N20" s="13">
        <v>5370.0000</v>
      </c>
    </row>
    <row r="21" ht="10.55" customHeight="true">
      <c r="A21" s="12" t="s">
        <v>29</v>
      </c>
      <c r="B21" s="13">
        <v>0</v>
      </c>
      <c r="C21" s="13">
        <v>0</v>
      </c>
      <c r="D21" s="13">
        <v>0</v>
      </c>
      <c r="E21" s="13">
        <v>6120.0000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6120.0000</v>
      </c>
    </row>
    <row r="22" ht="10.55" customHeight="true">
      <c r="A22" s="12" t="s">
        <v>30</v>
      </c>
      <c r="B22" s="13">
        <v>500.0000</v>
      </c>
      <c r="C22" s="13">
        <v>300.0000</v>
      </c>
      <c r="D22" s="13">
        <v>0</v>
      </c>
      <c r="E22" s="13">
        <v>800.0000</v>
      </c>
      <c r="F22" s="13">
        <v>600.0000</v>
      </c>
      <c r="G22" s="13">
        <v>1200.0000</v>
      </c>
      <c r="H22" s="13">
        <v>0</v>
      </c>
      <c r="I22" s="13">
        <v>800.0000</v>
      </c>
      <c r="J22" s="13">
        <v>400.0000</v>
      </c>
      <c r="K22" s="13">
        <v>300.0000</v>
      </c>
      <c r="L22" s="13">
        <v>0</v>
      </c>
      <c r="M22" s="13">
        <v>16800.0000</v>
      </c>
      <c r="N22" s="13">
        <v>21700.0000</v>
      </c>
    </row>
    <row r="23" ht="10.55" customHeight="true">
      <c r="A23" s="12" t="s">
        <v>31</v>
      </c>
      <c r="B23" s="13">
        <v>0</v>
      </c>
      <c r="C23" s="13">
        <v>0</v>
      </c>
      <c r="D23" s="13">
        <v>0</v>
      </c>
      <c r="E23" s="13">
        <v>7500.0000</v>
      </c>
      <c r="F23" s="13">
        <v>0</v>
      </c>
      <c r="G23" s="13">
        <v>0</v>
      </c>
      <c r="H23" s="13">
        <v>0</v>
      </c>
      <c r="I23" s="13">
        <v>10000.0000</v>
      </c>
      <c r="J23" s="13">
        <v>0</v>
      </c>
      <c r="K23" s="13">
        <v>0</v>
      </c>
      <c r="L23" s="13">
        <v>0</v>
      </c>
      <c r="M23" s="13">
        <v>0</v>
      </c>
      <c r="N23" s="13">
        <v>17500.0000</v>
      </c>
    </row>
    <row r="24" ht="10.55" customHeight="true">
      <c r="A24" s="12" t="s">
        <v>32</v>
      </c>
      <c r="B24" s="13">
        <v>510.0000</v>
      </c>
      <c r="C24" s="13">
        <v>285.0000</v>
      </c>
      <c r="D24" s="13">
        <v>37437.0000</v>
      </c>
      <c r="E24" s="13">
        <v>3282.2700</v>
      </c>
      <c r="F24" s="13">
        <v>2615.0000</v>
      </c>
      <c r="G24" s="13">
        <v>6241.0000</v>
      </c>
      <c r="H24" s="13">
        <v>0</v>
      </c>
      <c r="I24" s="13">
        <v>1765.0000</v>
      </c>
      <c r="J24" s="13">
        <v>1014.2500</v>
      </c>
      <c r="K24" s="13">
        <v>755.0000</v>
      </c>
      <c r="L24" s="13">
        <v>390.0000</v>
      </c>
      <c r="M24" s="13">
        <v>38106.9800</v>
      </c>
      <c r="N24" s="13">
        <v>92401.5000</v>
      </c>
    </row>
    <row r="25" ht="10.55" customHeight="true">
      <c r="A25" s="12" t="s">
        <v>33</v>
      </c>
      <c r="B25" s="13">
        <v>23762.1600</v>
      </c>
      <c r="C25" s="13">
        <v>28631.3100</v>
      </c>
      <c r="D25" s="13">
        <v>30945.5700</v>
      </c>
      <c r="E25" s="13">
        <v>36087.8600</v>
      </c>
      <c r="F25" s="13">
        <v>39885.5900</v>
      </c>
      <c r="G25" s="13">
        <v>37697.8800</v>
      </c>
      <c r="H25" s="13">
        <v>34097.6600</v>
      </c>
      <c r="I25" s="13">
        <v>32492.1200</v>
      </c>
      <c r="J25" s="13">
        <v>32678.2800</v>
      </c>
      <c r="K25" s="13">
        <v>45134.5600</v>
      </c>
      <c r="L25" s="13">
        <v>44018.5500</v>
      </c>
      <c r="M25" s="13">
        <v>32087.3000</v>
      </c>
      <c r="N25" s="13">
        <v>417518.8400</v>
      </c>
    </row>
    <row r="26" ht="10.55" customHeight="true">
      <c r="A26" s="12" t="s">
        <v>34</v>
      </c>
      <c r="B26" s="13">
        <v>0</v>
      </c>
      <c r="C26" s="13">
        <v>10300.0000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10300.0000</v>
      </c>
    </row>
    <row r="27" ht="10.55" customHeight="true">
      <c r="A27" s="12" t="s">
        <v>35</v>
      </c>
      <c r="B27" s="13">
        <v>24.0000</v>
      </c>
      <c r="C27" s="13">
        <v>12.0000</v>
      </c>
      <c r="D27" s="13">
        <v>12.0000</v>
      </c>
      <c r="E27" s="13">
        <v>24.0000</v>
      </c>
      <c r="F27" s="13">
        <v>12.0000</v>
      </c>
      <c r="G27" s="13">
        <v>24.0000</v>
      </c>
      <c r="H27" s="13">
        <v>24.0000</v>
      </c>
      <c r="I27" s="13">
        <v>0</v>
      </c>
      <c r="J27" s="13">
        <v>24.0000</v>
      </c>
      <c r="K27" s="13">
        <v>24.0000</v>
      </c>
      <c r="L27" s="13">
        <v>24.0000</v>
      </c>
      <c r="M27" s="13">
        <v>24.0000</v>
      </c>
      <c r="N27" s="13">
        <v>228.0000</v>
      </c>
    </row>
    <row r="28" ht="10.55" customHeight="true">
      <c r="A28" s="12" t="s">
        <v>36</v>
      </c>
      <c r="B28" s="13">
        <v>3600.0000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3600.0000</v>
      </c>
    </row>
    <row r="29" ht="10.55" customHeight="true">
      <c r="A29" s="12" t="s">
        <v>37</v>
      </c>
      <c r="B29" s="13">
        <v>2040.0000</v>
      </c>
      <c r="C29" s="13">
        <v>20215.6400</v>
      </c>
      <c r="D29" s="13">
        <v>15572.7900</v>
      </c>
      <c r="E29" s="13">
        <v>5870.0000</v>
      </c>
      <c r="F29" s="13">
        <v>0</v>
      </c>
      <c r="G29" s="13">
        <v>15572.4400</v>
      </c>
      <c r="H29" s="13">
        <v>6120.0000</v>
      </c>
      <c r="I29" s="13">
        <v>0</v>
      </c>
      <c r="J29" s="13">
        <v>31145.0000</v>
      </c>
      <c r="K29" s="13">
        <v>18620.0000</v>
      </c>
      <c r="L29" s="13">
        <v>15572.0000</v>
      </c>
      <c r="M29" s="13">
        <v>0</v>
      </c>
      <c r="N29" s="13">
        <v>130727.8700</v>
      </c>
    </row>
    <row r="30" ht="10.55" customHeight="true">
      <c r="A30" s="12" t="s">
        <v>38</v>
      </c>
      <c r="B30" s="13">
        <v>0</v>
      </c>
      <c r="C30" s="13">
        <v>0</v>
      </c>
      <c r="D30" s="13">
        <v>300.0000</v>
      </c>
      <c r="E30" s="13">
        <v>800.0000</v>
      </c>
      <c r="F30" s="13">
        <v>300.0000</v>
      </c>
      <c r="G30" s="13">
        <v>300.0000</v>
      </c>
      <c r="H30" s="13">
        <v>300.0000</v>
      </c>
      <c r="I30" s="13">
        <v>0</v>
      </c>
      <c r="J30" s="13">
        <v>600.0000</v>
      </c>
      <c r="K30" s="13">
        <v>0</v>
      </c>
      <c r="L30" s="13">
        <v>300.0000</v>
      </c>
      <c r="M30" s="13">
        <v>300.0000</v>
      </c>
      <c r="N30" s="13">
        <v>3200.0000</v>
      </c>
    </row>
    <row r="31" ht="10.55" customHeight="true">
      <c r="A31" s="12" t="s">
        <v>39</v>
      </c>
      <c r="B31" s="13">
        <v>23000.0000</v>
      </c>
      <c r="C31" s="13">
        <v>23000.0000</v>
      </c>
      <c r="D31" s="13">
        <v>26900.0000</v>
      </c>
      <c r="E31" s="13">
        <v>23000.0000</v>
      </c>
      <c r="F31" s="13">
        <v>23000.0000</v>
      </c>
      <c r="G31" s="13">
        <v>23000.0000</v>
      </c>
      <c r="H31" s="13">
        <v>26900.0000</v>
      </c>
      <c r="I31" s="13">
        <v>23000.0000</v>
      </c>
      <c r="J31" s="13">
        <v>26900.0000</v>
      </c>
      <c r="K31" s="13">
        <v>23000.0000</v>
      </c>
      <c r="L31" s="13">
        <v>23000.0000</v>
      </c>
      <c r="M31" s="13">
        <v>26900.0000</v>
      </c>
      <c r="N31" s="13">
        <v>291600.0000</v>
      </c>
    </row>
    <row r="32" ht="10.55" customHeight="true">
      <c r="A32" s="12" t="s">
        <v>40</v>
      </c>
      <c r="B32" s="13">
        <v>9196.5700</v>
      </c>
      <c r="C32" s="13">
        <v>9134.6400</v>
      </c>
      <c r="D32" s="13">
        <v>10289.8900</v>
      </c>
      <c r="E32" s="13">
        <v>11441.4800</v>
      </c>
      <c r="F32" s="13">
        <v>11781.2600</v>
      </c>
      <c r="G32" s="13">
        <v>10272.7900</v>
      </c>
      <c r="H32" s="13">
        <v>7938.6500</v>
      </c>
      <c r="I32" s="13">
        <v>9466.3400</v>
      </c>
      <c r="J32" s="13">
        <v>8270.1200</v>
      </c>
      <c r="K32" s="13">
        <v>0</v>
      </c>
      <c r="L32" s="13">
        <v>0</v>
      </c>
      <c r="M32" s="13">
        <v>10004.2800</v>
      </c>
      <c r="N32" s="13">
        <v>97796.0200</v>
      </c>
    </row>
    <row r="33" ht="10.55" customHeight="true">
      <c r="A33" s="8" t="s">
        <v>41</v>
      </c>
      <c r="B33" s="9">
        <f ca="1">SUM(B14:B32)</f>
        <v>0</v>
      </c>
      <c r="C33" s="9">
        <f ca="1">SUM(C14:C32)</f>
        <v>0</v>
      </c>
      <c r="D33" s="9">
        <f ca="1">SUM(D14:D32)</f>
        <v>0</v>
      </c>
      <c r="E33" s="9">
        <f ca="1">SUM(E14:E32)</f>
        <v>0</v>
      </c>
      <c r="F33" s="9">
        <f ca="1">SUM(F14:F32)</f>
        <v>0</v>
      </c>
      <c r="G33" s="9">
        <f ca="1">SUM(G14:G32)</f>
        <v>0</v>
      </c>
      <c r="H33" s="9">
        <f ca="1">SUM(H14:H32)</f>
        <v>0</v>
      </c>
      <c r="I33" s="9">
        <f ca="1">SUM(I14:I32)</f>
        <v>0</v>
      </c>
      <c r="J33" s="9">
        <f ca="1">SUM(J14:J32)</f>
        <v>0</v>
      </c>
      <c r="K33" s="9">
        <f ca="1">SUM(K14:K32)</f>
        <v>0</v>
      </c>
      <c r="L33" s="9">
        <f ca="1">SUM(L14:L32)</f>
        <v>0</v>
      </c>
      <c r="M33" s="9">
        <f ca="1">SUM(M14:M32)</f>
        <v>0</v>
      </c>
      <c r="N33" s="9">
        <f ca="1">SUM(N14:N32)</f>
        <v>0</v>
      </c>
    </row>
    <row r="34" ht="13.35" customHeight="true"/>
    <row r="35" ht="10.55" customHeight="true">
      <c r="A35" s="10" t="s">
        <v>42</v>
      </c>
      <c r="B35" s="11">
        <f ca="1">((B11 + 0) - B33)</f>
        <v>0</v>
      </c>
      <c r="C35" s="11">
        <f ca="1">((C11 + 0) - C33)</f>
        <v>0</v>
      </c>
      <c r="D35" s="11">
        <f ca="1">((D11 + 0) - D33)</f>
        <v>0</v>
      </c>
      <c r="E35" s="11">
        <f ca="1">((E11 + 0) - E33)</f>
        <v>0</v>
      </c>
      <c r="F35" s="11">
        <f ca="1">((F11 + 0) - F33)</f>
        <v>0</v>
      </c>
      <c r="G35" s="11">
        <f ca="1">((G11 + 0) - G33)</f>
        <v>0</v>
      </c>
      <c r="H35" s="11">
        <f ca="1">((H11 + 0) - H33)</f>
        <v>0</v>
      </c>
      <c r="I35" s="11">
        <f ca="1">((I11 + 0) - I33)</f>
        <v>0</v>
      </c>
      <c r="J35" s="11">
        <f ca="1">((J11 + 0) - J33)</f>
        <v>0</v>
      </c>
      <c r="K35" s="11">
        <f ca="1">((K11 + 0) - K33)</f>
        <v>0</v>
      </c>
      <c r="L35" s="11">
        <f ca="1">((L11 + 0) - L33)</f>
        <v>0</v>
      </c>
      <c r="M35" s="11">
        <f ca="1">((M11 + 0) - M33)</f>
        <v>0</v>
      </c>
      <c r="N35" s="11">
        <f ca="1">((N11 + 0) - N33)</f>
        <v>0</v>
      </c>
    </row>
  </sheetData>
  <mergeCells count="5">
    <mergeCell ref="A1:N1"/>
    <mergeCell ref="A2:N2"/>
    <mergeCell ref="A3:N3"/>
    <mergeCell ref="A7:N7"/>
    <mergeCell ref="A13:N13"/>
  </mergeCells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