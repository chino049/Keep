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ofit and Loss" sheetId="1" r:id="GemRid200579"/>
  </sheets>
  <definedNames/>
  <calcPr calcId="144525"/>
</workbook>
</file>

<file path=xl/sharedStrings.xml><?xml version="1.0" encoding="utf-8"?>
<sst xmlns="http://schemas.openxmlformats.org/spreadsheetml/2006/main" count="31" uniqueCount="31">
  <si>
    <t>Profit and Loss</t>
  </si>
  <si>
    <t>Patinio</t>
  </si>
  <si>
    <t>For the year ended 31 December 2018</t>
  </si>
  <si>
    <t>Account</t>
  </si>
  <si>
    <t>2018</t>
  </si>
  <si>
    <t>Trading Income</t>
  </si>
  <si>
    <t>Sales</t>
  </si>
  <si>
    <t>Total Trading Income</t>
  </si>
  <si>
    <t>Gross Profit</t>
  </si>
  <si>
    <t>Operating Expenses</t>
  </si>
  <si>
    <t>Building Insurance</t>
  </si>
  <si>
    <t>Christmas Gifts</t>
  </si>
  <si>
    <t>Cleaning</t>
  </si>
  <si>
    <t>Food</t>
  </si>
  <si>
    <t>Garbage</t>
  </si>
  <si>
    <t>General Expenses</t>
  </si>
  <si>
    <t>Health Insurance</t>
  </si>
  <si>
    <t>Income Tax Expense</t>
  </si>
  <si>
    <t>Labor</t>
  </si>
  <si>
    <t>Legal expenses</t>
  </si>
  <si>
    <t>Materials, Repairs and Maintenance</t>
  </si>
  <si>
    <t>Meralco, Light, Power, Heating</t>
  </si>
  <si>
    <t>Payment to Owners</t>
  </si>
  <si>
    <t>Printing &amp; Stationery</t>
  </si>
  <si>
    <t>Subscriptions</t>
  </si>
  <si>
    <t>Taxes and Licenses</t>
  </si>
  <si>
    <t>Tranportation allowance, Travel - National</t>
  </si>
  <si>
    <t>Wages and Salaries</t>
  </si>
  <si>
    <t>Water</t>
  </si>
  <si>
    <t>Total Operating Expenses</t>
  </si>
  <si>
    <t>Net Profit</t>
  </si>
</sst>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sz val="10"/>
      <name val="Arial"/>
    </font>
    <font>
      <b/>
      <sz val="20"/>
      <name val="Arial"/>
    </font>
    <font>
      <sz val="14"/>
      <name val="Arial"/>
    </font>
    <font>
      <b/>
      <sz val="8"/>
      <name val="Arial"/>
    </font>
    <font>
      <b/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/>
    <border>
      <bottom style="thin"/>
    </border>
    <border>
      <top style="thin">
        <color rgb="FFEBEBEB"/>
      </top>
    </border>
    <border>
      <top style="thin"/>
      <bottom style="thin"/>
    </border>
  </borders>
  <cellStyleXfs count="1">
    <xf numFmtId="0" fontId="0" fillId="0" borderId="0" applyProtection="1">
      <protection/>
    </xf>
  </cellStyleXfs>
  <cellXfs count="12">
    <xf numFmtId="0" fontId="0" fillId="0" borderId="0" xfId="0" applyProtection="1">
      <protection/>
    </xf>
    <xf numFmtId="0" fontId="1" fillId="0" borderId="0" xfId="0" applyFont="1" applyProtection="1" applyAlignment="1">
      <alignment vertical="center" wrapText="1"/>
      <protection/>
    </xf>
    <xf numFmtId="0" fontId="2" fillId="0" borderId="0" xfId="0" applyFont="1" applyProtection="1" applyAlignment="1">
      <alignment vertical="center" wrapText="1"/>
      <protection/>
    </xf>
    <xf numFmtId="0" fontId="3" fillId="0" borderId="1" xfId="0" applyFont="1" applyBorder="1" applyProtection="1" applyAlignment="1">
      <alignment horizontal="left" vertical="center"/>
      <protection/>
    </xf>
    <xf numFmtId="0" fontId="3" fillId="0" borderId="1" xfId="0" applyFont="1" applyBorder="1" applyProtection="1" applyAlignment="1">
      <alignment horizontal="right" vertical="center"/>
      <protection/>
    </xf>
    <xf numFmtId="0" fontId="4" fillId="0" borderId="1" xfId="0" applyFont="1" applyBorder="1" applyProtection="1" applyAlignment="1">
      <alignment vertical="center" wrapText="1"/>
      <protection/>
    </xf>
    <xf numFmtId="0" fontId="5" fillId="0" borderId="2" xfId="0" applyFont="1" applyBorder="1" applyProtection="1" applyAlignment="1">
      <alignment vertical="center"/>
      <protection/>
    </xf>
    <xf numFmtId="164" fontId="5" fillId="0" borderId="2" xfId="0" applyNumberFormat="1" applyFont="1" applyBorder="1" applyProtection="1" applyAlignment="1">
      <alignment horizontal="right" vertical="center"/>
      <protection/>
    </xf>
    <xf numFmtId="0" fontId="3" fillId="0" borderId="2" xfId="0" applyFont="1" applyBorder="1" applyProtection="1" applyAlignment="1">
      <alignment vertical="center"/>
      <protection/>
    </xf>
    <xf numFmtId="164" fontId="3" fillId="0" borderId="2" xfId="0" applyNumberFormat="1" applyFont="1" applyBorder="1" applyProtection="1" applyAlignment="1">
      <alignment horizontal="right" vertical="center"/>
      <protection/>
    </xf>
    <xf numFmtId="0" fontId="3" fillId="2" borderId="3" xfId="0" applyFont="1" applyFill="1" applyBorder="1" applyProtection="1" applyAlignment="1">
      <alignment vertical="center"/>
      <protection/>
    </xf>
    <xf numFmtId="164" fontId="3" fillId="2" borderId="3" xfId="0" applyNumberFormat="1" applyFont="1" applyFill="1" applyBorder="1" applyProtection="1" applyAlignment="1">
      <alignment horizontal="right" vertical="center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200579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50" zoomScaleSheetLayoutView="60" showGridLines="0" zoomScale="150" view="normal"/>
  </sheetViews>
  <sheetFormatPr defaultRowHeight="12.75"/>
  <cols>
    <col min="1" max="1" width="23.4375" customWidth="1"/>
    <col min="2" max="2" width="10.00391" customWidth="1"/>
  </cols>
  <sheetData>
    <row r="1" ht="25.4" customHeight="1">
      <c r="A1" s="1" t="s">
        <v>0</v>
      </c>
      <c r="B1" s="1"/>
    </row>
    <row r="2" ht="17.95" customHeight="1">
      <c r="A2" s="2" t="s">
        <v>1</v>
      </c>
      <c r="B2" s="2"/>
    </row>
    <row r="3" ht="36.25" customHeight="1">
      <c r="A3" s="2" t="s">
        <v>2</v>
      </c>
      <c r="B3" s="2"/>
    </row>
    <row r="4" ht="13.35" customHeight="1"/>
    <row r="5" ht="10.5" customHeight="1">
      <c r="A5" s="3" t="s">
        <v>3</v>
      </c>
      <c r="B5" s="4" t="s">
        <v>4</v>
      </c>
    </row>
    <row r="6" ht="13.35" customHeight="1"/>
    <row r="7" ht="13" customHeight="1">
      <c r="A7" s="5" t="s">
        <v>5</v>
      </c>
      <c r="B7" s="5"/>
    </row>
    <row r="8" ht="10.5" customHeight="1">
      <c r="A8" s="6" t="s">
        <v>6</v>
      </c>
      <c r="B8" s="7">
        <v>1592591.9200</v>
      </c>
    </row>
    <row r="9" ht="10.5" customHeight="1">
      <c r="A9" s="8" t="s">
        <v>7</v>
      </c>
      <c r="B9" s="9">
        <f ca="1">B8</f>
        <v>0</v>
      </c>
    </row>
    <row r="10" ht="13.35" customHeight="1"/>
    <row r="11" ht="10.5" customHeight="1">
      <c r="A11" s="10" t="s">
        <v>8</v>
      </c>
      <c r="B11" s="11">
        <f ca="1">(B9 - 0)</f>
        <v>0</v>
      </c>
    </row>
    <row r="12" ht="13.35" customHeight="1"/>
    <row r="13" ht="13" customHeight="1">
      <c r="A13" s="5" t="s">
        <v>9</v>
      </c>
      <c r="B13" s="5"/>
    </row>
    <row r="14" ht="10.5" customHeight="1">
      <c r="A14" s="6" t="s">
        <v>10</v>
      </c>
      <c r="B14" s="7">
        <v>19131.7000</v>
      </c>
    </row>
    <row r="15" ht="10.5" customHeight="1">
      <c r="A15" s="6" t="s">
        <v>11</v>
      </c>
      <c r="B15" s="7">
        <v>51595.0000</v>
      </c>
    </row>
    <row r="16" ht="10.5" customHeight="1">
      <c r="A16" s="6" t="s">
        <v>12</v>
      </c>
      <c r="B16" s="7">
        <v>4790.0000</v>
      </c>
    </row>
    <row r="17" ht="10.5" customHeight="1">
      <c r="A17" s="6" t="s">
        <v>13</v>
      </c>
      <c r="B17" s="7">
        <v>1800.0000</v>
      </c>
    </row>
    <row r="18" ht="10.5" customHeight="1">
      <c r="A18" s="6" t="s">
        <v>14</v>
      </c>
      <c r="B18" s="7">
        <v>2920.0000</v>
      </c>
    </row>
    <row r="19" ht="10.5" customHeight="1">
      <c r="A19" s="6" t="s">
        <v>15</v>
      </c>
      <c r="B19" s="7">
        <v>323250.0000</v>
      </c>
    </row>
    <row r="20" ht="10.5" customHeight="1">
      <c r="A20" s="6" t="s">
        <v>16</v>
      </c>
      <c r="B20" s="7">
        <v>5370.0000</v>
      </c>
    </row>
    <row r="21" ht="10.5" customHeight="1">
      <c r="A21" s="6" t="s">
        <v>17</v>
      </c>
      <c r="B21" s="7">
        <v>6120.0000</v>
      </c>
    </row>
    <row r="22" ht="10.5" customHeight="1">
      <c r="A22" s="6" t="s">
        <v>18</v>
      </c>
      <c r="B22" s="7">
        <v>21700.0000</v>
      </c>
    </row>
    <row r="23" ht="10.5" customHeight="1">
      <c r="A23" s="6" t="s">
        <v>19</v>
      </c>
      <c r="B23" s="7">
        <v>17500.0000</v>
      </c>
    </row>
    <row r="24" ht="10.5" customHeight="1">
      <c r="A24" s="6" t="s">
        <v>20</v>
      </c>
      <c r="B24" s="7">
        <v>92401.5000</v>
      </c>
    </row>
    <row r="25" ht="10.5" customHeight="1">
      <c r="A25" s="6" t="s">
        <v>21</v>
      </c>
      <c r="B25" s="7">
        <v>417518.8400</v>
      </c>
    </row>
    <row r="26" ht="10.5" customHeight="1">
      <c r="A26" s="6" t="s">
        <v>22</v>
      </c>
      <c r="B26" s="7">
        <v>10300.0000</v>
      </c>
    </row>
    <row r="27" ht="10.5" customHeight="1">
      <c r="A27" s="6" t="s">
        <v>23</v>
      </c>
      <c r="B27" s="7">
        <v>228.0000</v>
      </c>
    </row>
    <row r="28" ht="10.5" customHeight="1">
      <c r="A28" s="6" t="s">
        <v>24</v>
      </c>
      <c r="B28" s="7">
        <v>3600.0000</v>
      </c>
    </row>
    <row r="29" ht="10.5" customHeight="1">
      <c r="A29" s="6" t="s">
        <v>25</v>
      </c>
      <c r="B29" s="7">
        <v>130727.8700</v>
      </c>
    </row>
    <row r="30" ht="10.5" customHeight="1">
      <c r="A30" s="6" t="s">
        <v>26</v>
      </c>
      <c r="B30" s="7">
        <v>3200.0000</v>
      </c>
    </row>
    <row r="31" ht="10.5" customHeight="1">
      <c r="A31" s="6" t="s">
        <v>27</v>
      </c>
      <c r="B31" s="7">
        <v>291600.0000</v>
      </c>
    </row>
    <row r="32" ht="10.5" customHeight="1">
      <c r="A32" s="6" t="s">
        <v>28</v>
      </c>
      <c r="B32" s="7">
        <v>97796.0200</v>
      </c>
    </row>
    <row r="33" ht="10.5" customHeight="1">
      <c r="A33" s="8" t="s">
        <v>29</v>
      </c>
      <c r="B33" s="9">
        <f ca="1">SUM(B14:B32)</f>
        <v>0</v>
      </c>
    </row>
    <row r="34" ht="13.35" customHeight="1"/>
    <row r="35" ht="10.5" customHeight="1">
      <c r="A35" s="10" t="s">
        <v>30</v>
      </c>
      <c r="B35" s="11">
        <f ca="1">((B11 + 0) - B33)</f>
        <v>0</v>
      </c>
    </row>
  </sheetData>
  <mergeCells count="5">
    <mergeCell ref="A3:B3"/>
    <mergeCell ref="A7:B7"/>
    <mergeCell ref="A13:B13"/>
    <mergeCell ref="A2:B2"/>
    <mergeCell ref="A1:B1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