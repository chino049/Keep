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esus.ordonez\bitbucket\misc\"/>
    </mc:Choice>
  </mc:AlternateContent>
  <xr:revisionPtr revIDLastSave="0" documentId="13_ncr:1_{B73D80E9-C21C-4961-81D0-7A71F167337B}" xr6:coauthVersionLast="47" xr6:coauthVersionMax="47" xr10:uidLastSave="{00000000-0000-0000-0000-000000000000}"/>
  <bookViews>
    <workbookView xWindow="984" yWindow="240" windowWidth="59148" windowHeight="16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AM26" i="1"/>
  <c r="AL30" i="1" s="1"/>
  <c r="AJ26" i="1"/>
  <c r="AJ12" i="1"/>
  <c r="AJ8" i="1"/>
  <c r="W37" i="1"/>
  <c r="AE26" i="1"/>
  <c r="AD30" i="1" s="1"/>
  <c r="AB26" i="1"/>
  <c r="AB8" i="1" s="1"/>
  <c r="AE12" i="1"/>
  <c r="AE8" i="1" s="1"/>
  <c r="W26" i="1"/>
  <c r="V30" i="1" s="1"/>
  <c r="O26" i="1"/>
  <c r="N30" i="1" s="1"/>
  <c r="G26" i="1"/>
  <c r="T26" i="1"/>
  <c r="T12" i="1" s="1"/>
  <c r="L26" i="1"/>
  <c r="L12" i="1" s="1"/>
  <c r="D26" i="1"/>
  <c r="D12" i="1" s="1"/>
  <c r="G11" i="1" l="1"/>
  <c r="G7" i="1" s="1"/>
  <c r="AM12" i="1"/>
  <c r="AM8" i="1" s="1"/>
  <c r="AM11" i="1"/>
  <c r="AM7" i="1" s="1"/>
  <c r="O12" i="1"/>
  <c r="O8" i="1" s="1"/>
  <c r="O11" i="1"/>
  <c r="O7" i="1" s="1"/>
  <c r="W12" i="1"/>
  <c r="W8" i="1" s="1"/>
  <c r="W11" i="1"/>
  <c r="W7" i="1" s="1"/>
  <c r="AB12" i="1"/>
  <c r="AE11" i="1" s="1"/>
  <c r="AE7" i="1" s="1"/>
  <c r="T8" i="1"/>
  <c r="D8" i="1"/>
  <c r="L8" i="1"/>
  <c r="G12" i="1"/>
  <c r="G8" i="1" s="1"/>
  <c r="F30" i="1"/>
</calcChain>
</file>

<file path=xl/sharedStrings.xml><?xml version="1.0" encoding="utf-8"?>
<sst xmlns="http://schemas.openxmlformats.org/spreadsheetml/2006/main" count="118" uniqueCount="38">
  <si>
    <t>Yeraly Net Income</t>
  </si>
  <si>
    <t>Monthly Net Income</t>
  </si>
  <si>
    <t>Monthly Gross Incone</t>
  </si>
  <si>
    <t>Expenses Monthly</t>
  </si>
  <si>
    <t>Income Monthly</t>
  </si>
  <si>
    <t>Payroll</t>
  </si>
  <si>
    <t>rent</t>
  </si>
  <si>
    <t>food</t>
  </si>
  <si>
    <t>wat/elec</t>
  </si>
  <si>
    <t xml:space="preserve">ins </t>
  </si>
  <si>
    <t>LLC</t>
  </si>
  <si>
    <t>Total</t>
  </si>
  <si>
    <t>Income tax rate%</t>
  </si>
  <si>
    <t>Monthly Expenses</t>
  </si>
  <si>
    <t>Yearly Expenses</t>
  </si>
  <si>
    <t>Yearly Gross Income</t>
  </si>
  <si>
    <t>Daily Income</t>
  </si>
  <si>
    <t>sales tax</t>
  </si>
  <si>
    <t>Daily income</t>
  </si>
  <si>
    <t>payroll</t>
  </si>
  <si>
    <t>hours per week</t>
  </si>
  <si>
    <t>hourly rate</t>
  </si>
  <si>
    <t>total month</t>
  </si>
  <si>
    <t>payroll processing</t>
  </si>
  <si>
    <t xml:space="preserve"> </t>
  </si>
  <si>
    <t>su</t>
  </si>
  <si>
    <t>sat</t>
  </si>
  <si>
    <t>fri</t>
  </si>
  <si>
    <t>wed</t>
  </si>
  <si>
    <t>tues</t>
  </si>
  <si>
    <t>thu</t>
  </si>
  <si>
    <t>4 13</t>
  </si>
  <si>
    <t>4 12</t>
  </si>
  <si>
    <t>4 11</t>
  </si>
  <si>
    <t>4 10</t>
  </si>
  <si>
    <t>4 09</t>
  </si>
  <si>
    <t>4 08</t>
  </si>
  <si>
    <t>daily 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</si>
</sst>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1" fillId="0" borderId="2" xfId="0" applyFont="1" applyBorder="1"/>
    <xf numFmtId="164" fontId="1" fillId="0" borderId="3" xfId="0" applyNumberFormat="1" applyFont="1" applyBorder="1"/>
    <xf numFmtId="0" fontId="0" fillId="0" borderId="4" xfId="0" applyBorder="1"/>
    <xf numFmtId="164" fontId="1" fillId="0" borderId="5" xfId="0" applyNumberFormat="1" applyFont="1" applyBorder="1"/>
    <xf numFmtId="164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8" xfId="0" applyNumberFormat="1" applyBorder="1"/>
    <xf numFmtId="0" fontId="0" fillId="2" borderId="4" xfId="0" applyFill="1" applyBorder="1"/>
    <xf numFmtId="164" fontId="0" fillId="2" borderId="0" xfId="0" applyNumberFormat="1" applyFill="1"/>
    <xf numFmtId="0" fontId="0" fillId="2" borderId="0" xfId="0" applyFill="1"/>
    <xf numFmtId="164" fontId="0" fillId="2" borderId="5" xfId="0" applyNumberFormat="1" applyFill="1" applyBorder="1"/>
    <xf numFmtId="0" fontId="0" fillId="0" borderId="9" xfId="0" applyBorder="1"/>
    <xf numFmtId="164" fontId="0" fillId="0" borderId="9" xfId="0" applyNumberFormat="1" applyBorder="1"/>
    <xf numFmtId="0" fontId="2" fillId="3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AM62"/>
  <sheetViews>
    <sheetView tabSelected="1" topLeftCell="A9" workbookViewId="0">
      <selection activeCell="AD37" sqref="AD37:AF39"/>
    </sheetView>
  </sheetViews>
  <sheetFormatPr defaultRowHeight="14.4" x14ac:dyDescent="0.3"/>
  <cols>
    <col min="3" max="3" width="20.21875" customWidth="1"/>
    <col min="4" max="4" width="13.44140625" style="1" customWidth="1"/>
    <col min="6" max="6" width="18.5546875" customWidth="1"/>
    <col min="7" max="7" width="12.44140625" style="1" customWidth="1"/>
    <col min="11" max="11" width="15.6640625" customWidth="1"/>
    <col min="12" max="12" width="14.109375" customWidth="1"/>
    <col min="14" max="14" width="19.109375" customWidth="1"/>
    <col min="15" max="15" width="14.77734375" customWidth="1"/>
    <col min="17" max="17" width="8.88671875" style="23"/>
    <col min="19" max="19" width="17" customWidth="1"/>
    <col min="20" max="20" width="14.33203125" customWidth="1"/>
    <col min="22" max="22" width="20.6640625" customWidth="1"/>
    <col min="23" max="23" width="14.6640625" customWidth="1"/>
    <col min="27" max="27" width="16" customWidth="1"/>
    <col min="28" max="28" width="18.109375" customWidth="1"/>
    <col min="30" max="30" width="22.21875" customWidth="1"/>
    <col min="31" max="31" width="13.6640625" customWidth="1"/>
    <col min="35" max="35" width="15" customWidth="1"/>
    <col min="36" max="36" width="15.21875" customWidth="1"/>
    <col min="38" max="38" width="18.5546875" customWidth="1"/>
    <col min="39" max="39" width="20.5546875" customWidth="1"/>
  </cols>
  <sheetData>
    <row r="4" spans="3:39" x14ac:dyDescent="0.3">
      <c r="C4" s="2"/>
      <c r="D4" s="3"/>
    </row>
    <row r="5" spans="3:39" x14ac:dyDescent="0.3">
      <c r="C5" s="2"/>
      <c r="D5" s="3"/>
    </row>
    <row r="6" spans="3:39" ht="15" thickBot="1" x14ac:dyDescent="0.35"/>
    <row r="7" spans="3:39" x14ac:dyDescent="0.3">
      <c r="C7" s="4"/>
      <c r="D7" s="5"/>
      <c r="E7" s="6"/>
      <c r="F7" s="7" t="s">
        <v>0</v>
      </c>
      <c r="G7" s="8">
        <f>G11*12</f>
        <v>-29244</v>
      </c>
      <c r="K7" s="4"/>
      <c r="L7" s="5"/>
      <c r="M7" s="6"/>
      <c r="N7" s="7" t="s">
        <v>0</v>
      </c>
      <c r="O7" s="8">
        <f>O11*12</f>
        <v>240</v>
      </c>
      <c r="S7" s="4"/>
      <c r="T7" s="5"/>
      <c r="U7" s="6"/>
      <c r="V7" s="7" t="s">
        <v>0</v>
      </c>
      <c r="W7" s="8">
        <f>W11*12</f>
        <v>18840</v>
      </c>
      <c r="AA7" s="4"/>
      <c r="AB7" s="5"/>
      <c r="AC7" s="6"/>
      <c r="AD7" s="7" t="s">
        <v>0</v>
      </c>
      <c r="AE7" s="8">
        <f>AE11*12</f>
        <v>75840</v>
      </c>
      <c r="AI7" s="4"/>
      <c r="AJ7" s="5"/>
      <c r="AK7" s="6"/>
      <c r="AL7" s="7" t="s">
        <v>0</v>
      </c>
      <c r="AM7" s="8">
        <f>AM11*12</f>
        <v>101040</v>
      </c>
    </row>
    <row r="8" spans="3:39" x14ac:dyDescent="0.3">
      <c r="C8" s="9" t="s">
        <v>14</v>
      </c>
      <c r="D8" s="1">
        <f>D26*12</f>
        <v>213960</v>
      </c>
      <c r="F8" s="2" t="s">
        <v>15</v>
      </c>
      <c r="G8" s="10">
        <f>G12*12</f>
        <v>263880</v>
      </c>
      <c r="K8" s="9" t="s">
        <v>14</v>
      </c>
      <c r="L8" s="1">
        <f>L26*12</f>
        <v>213960</v>
      </c>
      <c r="N8" s="2" t="s">
        <v>15</v>
      </c>
      <c r="O8" s="10">
        <f>O12*12</f>
        <v>306000</v>
      </c>
      <c r="S8" s="9" t="s">
        <v>14</v>
      </c>
      <c r="T8" s="1">
        <f>T26*12</f>
        <v>233160</v>
      </c>
      <c r="V8" s="2" t="s">
        <v>15</v>
      </c>
      <c r="W8" s="10">
        <f>W12*12</f>
        <v>360000</v>
      </c>
      <c r="AA8" s="9" t="s">
        <v>14</v>
      </c>
      <c r="AB8" s="1">
        <f>AB26*12</f>
        <v>239160</v>
      </c>
      <c r="AD8" s="2" t="s">
        <v>15</v>
      </c>
      <c r="AE8" s="10">
        <f>AE12*12</f>
        <v>450000</v>
      </c>
      <c r="AI8" s="9" t="s">
        <v>14</v>
      </c>
      <c r="AJ8" s="1">
        <f>AJ26*12</f>
        <v>239160</v>
      </c>
      <c r="AL8" s="2" t="s">
        <v>15</v>
      </c>
      <c r="AM8" s="10">
        <f>AM12*12</f>
        <v>486000</v>
      </c>
    </row>
    <row r="9" spans="3:39" x14ac:dyDescent="0.3">
      <c r="C9" s="9"/>
      <c r="G9" s="11"/>
      <c r="K9" s="9"/>
      <c r="L9" s="1"/>
      <c r="O9" s="11"/>
      <c r="S9" s="9"/>
      <c r="T9" s="1"/>
      <c r="W9" s="11"/>
      <c r="AA9" s="9"/>
      <c r="AB9" s="1"/>
      <c r="AE9" s="11"/>
      <c r="AI9" s="9"/>
      <c r="AJ9" s="1"/>
      <c r="AM9" s="11"/>
    </row>
    <row r="10" spans="3:39" x14ac:dyDescent="0.3">
      <c r="C10" s="9"/>
      <c r="G10" s="11"/>
      <c r="K10" s="9"/>
      <c r="L10" s="1"/>
      <c r="O10" s="11"/>
      <c r="S10" s="9"/>
      <c r="T10" s="1"/>
      <c r="W10" s="11"/>
      <c r="AA10" s="9"/>
      <c r="AB10" s="1"/>
      <c r="AE10" s="11"/>
      <c r="AI10" s="9"/>
      <c r="AJ10" s="1"/>
      <c r="AM10" s="11"/>
    </row>
    <row r="11" spans="3:39" x14ac:dyDescent="0.3">
      <c r="C11" s="9"/>
      <c r="F11" t="s">
        <v>1</v>
      </c>
      <c r="G11" s="11">
        <f>G26-(G26*D30)-D12</f>
        <v>-2437</v>
      </c>
      <c r="K11" s="9"/>
      <c r="L11" s="1"/>
      <c r="N11" t="s">
        <v>1</v>
      </c>
      <c r="O11" s="11">
        <f>O26-(O26*L30)-L12</f>
        <v>20</v>
      </c>
      <c r="S11" s="9"/>
      <c r="T11" s="1"/>
      <c r="V11" t="s">
        <v>1</v>
      </c>
      <c r="W11" s="11">
        <f>W26-(W26*T30)-T12</f>
        <v>1570</v>
      </c>
      <c r="AA11" s="9"/>
      <c r="AB11" s="1"/>
      <c r="AD11" t="s">
        <v>1</v>
      </c>
      <c r="AE11" s="11">
        <f>AE26-(AE26*AB30)-AB12</f>
        <v>6320</v>
      </c>
      <c r="AI11" s="9"/>
      <c r="AJ11" s="1"/>
      <c r="AL11" t="s">
        <v>1</v>
      </c>
      <c r="AM11" s="11">
        <f>AM26-(AM26*AJ30)-AJ12</f>
        <v>8420</v>
      </c>
    </row>
    <row r="12" spans="3:39" x14ac:dyDescent="0.3">
      <c r="C12" s="9" t="s">
        <v>13</v>
      </c>
      <c r="D12" s="1">
        <f>D26</f>
        <v>17830</v>
      </c>
      <c r="F12" t="s">
        <v>2</v>
      </c>
      <c r="G12" s="11">
        <f>G26</f>
        <v>21990</v>
      </c>
      <c r="K12" s="9" t="s">
        <v>13</v>
      </c>
      <c r="L12" s="1">
        <f>L26</f>
        <v>17830</v>
      </c>
      <c r="N12" t="s">
        <v>2</v>
      </c>
      <c r="O12" s="11">
        <f>O26</f>
        <v>25500</v>
      </c>
      <c r="S12" s="9" t="s">
        <v>13</v>
      </c>
      <c r="T12" s="1">
        <f>T26</f>
        <v>19430</v>
      </c>
      <c r="V12" t="s">
        <v>2</v>
      </c>
      <c r="W12" s="11">
        <f>W26</f>
        <v>30000</v>
      </c>
      <c r="AA12" s="9" t="s">
        <v>13</v>
      </c>
      <c r="AB12" s="1">
        <f>AB26</f>
        <v>19930</v>
      </c>
      <c r="AD12" t="s">
        <v>2</v>
      </c>
      <c r="AE12" s="11">
        <f>AE26</f>
        <v>37500</v>
      </c>
      <c r="AI12" s="9" t="s">
        <v>13</v>
      </c>
      <c r="AJ12" s="1">
        <f>AJ26</f>
        <v>19930</v>
      </c>
      <c r="AL12" t="s">
        <v>2</v>
      </c>
      <c r="AM12" s="11">
        <f>AM26</f>
        <v>40500</v>
      </c>
    </row>
    <row r="13" spans="3:39" x14ac:dyDescent="0.3">
      <c r="C13" s="9"/>
      <c r="G13" s="11"/>
      <c r="K13" s="9"/>
      <c r="L13" s="1"/>
      <c r="O13" s="11"/>
      <c r="S13" s="9"/>
      <c r="T13" s="1"/>
      <c r="W13" s="11"/>
      <c r="AA13" s="9"/>
      <c r="AB13" s="1"/>
      <c r="AE13" s="11"/>
      <c r="AI13" s="9"/>
      <c r="AJ13" s="1"/>
      <c r="AM13" s="11"/>
    </row>
    <row r="14" spans="3:39" x14ac:dyDescent="0.3">
      <c r="C14" s="9"/>
      <c r="G14" s="11"/>
      <c r="K14" s="9"/>
      <c r="L14" s="1"/>
      <c r="O14" s="11"/>
      <c r="S14" s="9"/>
      <c r="T14" s="1"/>
      <c r="W14" s="11"/>
      <c r="AA14" s="9"/>
      <c r="AB14" s="1"/>
      <c r="AE14" s="11"/>
      <c r="AI14" s="9"/>
      <c r="AJ14" s="1"/>
      <c r="AM14" s="11"/>
    </row>
    <row r="15" spans="3:39" x14ac:dyDescent="0.3">
      <c r="C15" s="9"/>
      <c r="G15" s="11"/>
      <c r="K15" s="9"/>
      <c r="L15" s="1"/>
      <c r="O15" s="11"/>
      <c r="S15" s="9"/>
      <c r="T15" s="1"/>
      <c r="W15" s="11"/>
      <c r="AA15" s="9"/>
      <c r="AB15" s="1"/>
      <c r="AE15" s="11"/>
      <c r="AI15" s="9"/>
      <c r="AJ15" s="1"/>
      <c r="AM15" s="11"/>
    </row>
    <row r="16" spans="3:39" x14ac:dyDescent="0.3">
      <c r="C16" s="9" t="s">
        <v>3</v>
      </c>
      <c r="F16" t="s">
        <v>4</v>
      </c>
      <c r="G16" s="11"/>
      <c r="K16" s="9" t="s">
        <v>3</v>
      </c>
      <c r="L16" s="1"/>
      <c r="N16" t="s">
        <v>4</v>
      </c>
      <c r="O16" s="11"/>
      <c r="S16" s="9" t="s">
        <v>3</v>
      </c>
      <c r="T16" s="1"/>
      <c r="V16" t="s">
        <v>4</v>
      </c>
      <c r="W16" s="11"/>
      <c r="AA16" s="9" t="s">
        <v>3</v>
      </c>
      <c r="AB16" s="1"/>
      <c r="AD16" t="s">
        <v>4</v>
      </c>
      <c r="AE16" s="11"/>
      <c r="AI16" s="9" t="s">
        <v>3</v>
      </c>
      <c r="AJ16" s="1"/>
      <c r="AL16" t="s">
        <v>4</v>
      </c>
      <c r="AM16" s="11"/>
    </row>
    <row r="17" spans="3:39" x14ac:dyDescent="0.3">
      <c r="C17" s="9" t="s">
        <v>5</v>
      </c>
      <c r="D17" s="1">
        <v>6500</v>
      </c>
      <c r="G17" s="11"/>
      <c r="K17" s="9" t="s">
        <v>5</v>
      </c>
      <c r="L17" s="1">
        <v>6500</v>
      </c>
      <c r="O17" s="11"/>
      <c r="S17" s="9" t="s">
        <v>5</v>
      </c>
      <c r="T17" s="1">
        <v>7100</v>
      </c>
      <c r="W17" s="11"/>
      <c r="AA17" s="9" t="s">
        <v>5</v>
      </c>
      <c r="AB17" s="1">
        <v>7100</v>
      </c>
      <c r="AE17" s="11"/>
      <c r="AI17" s="9" t="s">
        <v>5</v>
      </c>
      <c r="AJ17" s="1">
        <v>7100</v>
      </c>
      <c r="AM17" s="11"/>
    </row>
    <row r="18" spans="3:39" x14ac:dyDescent="0.3">
      <c r="C18" s="9" t="s">
        <v>6</v>
      </c>
      <c r="D18" s="1">
        <v>3100</v>
      </c>
      <c r="G18" s="11"/>
      <c r="K18" s="9" t="s">
        <v>6</v>
      </c>
      <c r="L18" s="1">
        <v>3100</v>
      </c>
      <c r="O18" s="11"/>
      <c r="S18" s="9" t="s">
        <v>6</v>
      </c>
      <c r="T18" s="1">
        <v>3100</v>
      </c>
      <c r="W18" s="11"/>
      <c r="AA18" s="9" t="s">
        <v>6</v>
      </c>
      <c r="AB18" s="1">
        <v>3100</v>
      </c>
      <c r="AE18" s="11"/>
      <c r="AI18" s="9" t="s">
        <v>6</v>
      </c>
      <c r="AJ18" s="1">
        <v>3100</v>
      </c>
      <c r="AM18" s="11"/>
    </row>
    <row r="19" spans="3:39" x14ac:dyDescent="0.3">
      <c r="C19" s="17" t="s">
        <v>8</v>
      </c>
      <c r="D19" s="18">
        <v>2000</v>
      </c>
      <c r="E19" s="19"/>
      <c r="F19" s="19"/>
      <c r="G19" s="20"/>
      <c r="H19" s="19"/>
      <c r="I19" s="19"/>
      <c r="J19" s="19"/>
      <c r="K19" s="17" t="s">
        <v>8</v>
      </c>
      <c r="L19" s="18">
        <v>2000</v>
      </c>
      <c r="M19" s="19"/>
      <c r="N19" s="19"/>
      <c r="O19" s="20"/>
      <c r="P19" s="19"/>
      <c r="R19" s="19"/>
      <c r="S19" s="17" t="s">
        <v>8</v>
      </c>
      <c r="T19" s="18">
        <v>2000</v>
      </c>
      <c r="U19" s="19"/>
      <c r="V19" s="19"/>
      <c r="W19" s="20"/>
      <c r="X19" s="19"/>
      <c r="Y19" s="19"/>
      <c r="Z19" s="19"/>
      <c r="AA19" s="17" t="s">
        <v>8</v>
      </c>
      <c r="AB19" s="18">
        <v>2000</v>
      </c>
      <c r="AC19" s="19"/>
      <c r="AD19" s="19"/>
      <c r="AE19" s="20"/>
      <c r="AI19" s="17" t="s">
        <v>8</v>
      </c>
      <c r="AJ19" s="18">
        <v>2000</v>
      </c>
      <c r="AK19" s="19"/>
      <c r="AL19" s="19"/>
      <c r="AM19" s="20"/>
    </row>
    <row r="20" spans="3:39" x14ac:dyDescent="0.3">
      <c r="C20" s="17" t="s">
        <v>7</v>
      </c>
      <c r="D20" s="18">
        <v>6000</v>
      </c>
      <c r="E20" s="19"/>
      <c r="F20" s="19"/>
      <c r="G20" s="20"/>
      <c r="H20" s="19"/>
      <c r="I20" s="19"/>
      <c r="J20" s="19"/>
      <c r="K20" s="17" t="s">
        <v>7</v>
      </c>
      <c r="L20" s="18">
        <v>6000</v>
      </c>
      <c r="M20" s="19"/>
      <c r="N20" s="19"/>
      <c r="O20" s="20"/>
      <c r="P20" s="19"/>
      <c r="R20" s="19"/>
      <c r="S20" s="17" t="s">
        <v>7</v>
      </c>
      <c r="T20" s="18">
        <v>7000</v>
      </c>
      <c r="U20" s="19"/>
      <c r="V20" s="19"/>
      <c r="W20" s="20"/>
      <c r="X20" s="19"/>
      <c r="Y20" s="19"/>
      <c r="Z20" s="19"/>
      <c r="AA20" s="17" t="s">
        <v>7</v>
      </c>
      <c r="AB20" s="18">
        <v>7500</v>
      </c>
      <c r="AC20" s="19"/>
      <c r="AD20" s="19"/>
      <c r="AE20" s="20"/>
      <c r="AI20" s="17" t="s">
        <v>7</v>
      </c>
      <c r="AJ20" s="18">
        <v>7500</v>
      </c>
      <c r="AK20" s="19"/>
      <c r="AL20" s="19"/>
      <c r="AM20" s="20"/>
    </row>
    <row r="21" spans="3:39" x14ac:dyDescent="0.3">
      <c r="C21" s="9" t="s">
        <v>9</v>
      </c>
      <c r="D21" s="1">
        <v>75</v>
      </c>
      <c r="G21" s="11"/>
      <c r="K21" s="9" t="s">
        <v>9</v>
      </c>
      <c r="L21" s="1">
        <v>75</v>
      </c>
      <c r="O21" s="11"/>
      <c r="S21" s="9" t="s">
        <v>9</v>
      </c>
      <c r="T21" s="1">
        <v>75</v>
      </c>
      <c r="W21" s="11"/>
      <c r="AA21" s="9" t="s">
        <v>9</v>
      </c>
      <c r="AB21" s="1">
        <v>75</v>
      </c>
      <c r="AE21" s="11"/>
      <c r="AI21" s="9" t="s">
        <v>9</v>
      </c>
      <c r="AJ21" s="1">
        <v>75</v>
      </c>
      <c r="AM21" s="11"/>
    </row>
    <row r="22" spans="3:39" x14ac:dyDescent="0.3">
      <c r="C22" s="9" t="s">
        <v>10</v>
      </c>
      <c r="D22" s="1">
        <v>70</v>
      </c>
      <c r="G22" s="11"/>
      <c r="K22" s="9" t="s">
        <v>10</v>
      </c>
      <c r="L22" s="1">
        <v>70</v>
      </c>
      <c r="O22" s="11"/>
      <c r="S22" s="9" t="s">
        <v>10</v>
      </c>
      <c r="T22" s="1">
        <v>70</v>
      </c>
      <c r="W22" s="11"/>
      <c r="AA22" s="9" t="s">
        <v>10</v>
      </c>
      <c r="AB22" s="1">
        <v>70</v>
      </c>
      <c r="AE22" s="11"/>
      <c r="AI22" s="9" t="s">
        <v>10</v>
      </c>
      <c r="AJ22" s="1">
        <v>70</v>
      </c>
      <c r="AM22" s="11"/>
    </row>
    <row r="23" spans="3:39" x14ac:dyDescent="0.3">
      <c r="C23" s="9" t="s">
        <v>17</v>
      </c>
      <c r="D23" s="1">
        <v>0</v>
      </c>
      <c r="G23" s="11"/>
      <c r="K23" s="9" t="s">
        <v>17</v>
      </c>
      <c r="L23" s="1">
        <v>0</v>
      </c>
      <c r="O23" s="11"/>
      <c r="S23" s="9" t="s">
        <v>17</v>
      </c>
      <c r="T23" s="1">
        <v>0</v>
      </c>
      <c r="W23" s="11"/>
      <c r="AA23" s="9" t="s">
        <v>17</v>
      </c>
      <c r="AB23" s="1">
        <v>0</v>
      </c>
      <c r="AE23" s="11"/>
      <c r="AI23" s="9" t="s">
        <v>17</v>
      </c>
      <c r="AJ23" s="1">
        <v>0</v>
      </c>
      <c r="AM23" s="11"/>
    </row>
    <row r="24" spans="3:39" x14ac:dyDescent="0.3">
      <c r="C24" s="17" t="s">
        <v>23</v>
      </c>
      <c r="D24" s="18">
        <v>85</v>
      </c>
      <c r="E24" s="19"/>
      <c r="F24" s="19"/>
      <c r="G24" s="20"/>
      <c r="H24" s="19"/>
      <c r="I24" s="19"/>
      <c r="J24" s="19"/>
      <c r="K24" s="17" t="s">
        <v>23</v>
      </c>
      <c r="L24" s="18">
        <v>85</v>
      </c>
      <c r="M24" s="19"/>
      <c r="N24" s="19"/>
      <c r="O24" s="20"/>
      <c r="P24" s="19"/>
      <c r="R24" s="19"/>
      <c r="S24" s="17" t="s">
        <v>23</v>
      </c>
      <c r="T24" s="18">
        <v>85</v>
      </c>
      <c r="U24" s="19"/>
      <c r="V24" s="19"/>
      <c r="W24" s="20"/>
      <c r="X24" s="19"/>
      <c r="Y24" s="19"/>
      <c r="Z24" s="19"/>
      <c r="AA24" s="17" t="s">
        <v>23</v>
      </c>
      <c r="AB24" s="18">
        <v>85</v>
      </c>
      <c r="AC24" s="19"/>
      <c r="AD24" s="19"/>
      <c r="AE24" s="20"/>
      <c r="AF24" s="19"/>
      <c r="AG24" s="19"/>
      <c r="AH24" s="19"/>
      <c r="AI24" s="17" t="s">
        <v>23</v>
      </c>
      <c r="AJ24" s="18">
        <v>85</v>
      </c>
      <c r="AK24" s="19"/>
      <c r="AL24" s="19"/>
      <c r="AM24" s="20"/>
    </row>
    <row r="25" spans="3:39" x14ac:dyDescent="0.3">
      <c r="C25" s="9"/>
      <c r="G25" s="11"/>
      <c r="K25" s="9"/>
      <c r="L25" s="1"/>
      <c r="O25" s="11"/>
      <c r="S25" s="9"/>
      <c r="T25" s="1"/>
      <c r="W25" s="11"/>
      <c r="AA25" s="9"/>
      <c r="AB25" s="1"/>
      <c r="AE25" s="11"/>
      <c r="AI25" s="9"/>
      <c r="AJ25" s="1"/>
      <c r="AM25" s="11"/>
    </row>
    <row r="26" spans="3:39" x14ac:dyDescent="0.3">
      <c r="C26" s="9" t="s">
        <v>11</v>
      </c>
      <c r="D26" s="1">
        <f>SUM(D17:D24)</f>
        <v>17830</v>
      </c>
      <c r="F26" t="s">
        <v>11</v>
      </c>
      <c r="G26" s="11">
        <f>G28*30</f>
        <v>21990</v>
      </c>
      <c r="K26" s="9" t="s">
        <v>11</v>
      </c>
      <c r="L26" s="1">
        <f>SUM(L17:L24)</f>
        <v>17830</v>
      </c>
      <c r="N26" t="s">
        <v>11</v>
      </c>
      <c r="O26" s="11">
        <f>O28*30</f>
        <v>25500</v>
      </c>
      <c r="S26" s="9" t="s">
        <v>11</v>
      </c>
      <c r="T26" s="1">
        <f>SUM(T17:T24)</f>
        <v>19430</v>
      </c>
      <c r="V26" t="s">
        <v>11</v>
      </c>
      <c r="W26" s="11">
        <f>W28*30</f>
        <v>30000</v>
      </c>
      <c r="AA26" s="9" t="s">
        <v>11</v>
      </c>
      <c r="AB26" s="1">
        <f>SUM(AB17:AB24)</f>
        <v>19930</v>
      </c>
      <c r="AD26" t="s">
        <v>11</v>
      </c>
      <c r="AE26" s="11">
        <f>AE28*30</f>
        <v>37500</v>
      </c>
      <c r="AI26" s="9" t="s">
        <v>11</v>
      </c>
      <c r="AJ26" s="1">
        <f>SUM(AJ17:AJ24)</f>
        <v>19930</v>
      </c>
      <c r="AL26" t="s">
        <v>11</v>
      </c>
      <c r="AM26" s="11">
        <f>AM28*30</f>
        <v>40500</v>
      </c>
    </row>
    <row r="27" spans="3:39" x14ac:dyDescent="0.3">
      <c r="C27" s="9"/>
      <c r="G27" s="11"/>
      <c r="K27" s="9"/>
      <c r="L27" s="1"/>
      <c r="O27" s="11"/>
      <c r="S27" s="9"/>
      <c r="T27" s="1"/>
      <c r="W27" s="11"/>
      <c r="AA27" s="9"/>
      <c r="AB27" s="1"/>
      <c r="AE27" s="11"/>
      <c r="AI27" s="9"/>
      <c r="AJ27" s="1"/>
      <c r="AM27" s="11"/>
    </row>
    <row r="28" spans="3:39" x14ac:dyDescent="0.3">
      <c r="C28" s="9"/>
      <c r="F28" t="s">
        <v>18</v>
      </c>
      <c r="G28" s="11">
        <v>733</v>
      </c>
      <c r="K28" s="9"/>
      <c r="L28" s="1"/>
      <c r="N28" t="s">
        <v>18</v>
      </c>
      <c r="O28" s="11">
        <v>850</v>
      </c>
      <c r="S28" s="9"/>
      <c r="T28" s="1"/>
      <c r="V28" t="s">
        <v>16</v>
      </c>
      <c r="W28" s="11">
        <v>1000</v>
      </c>
      <c r="AA28" s="9"/>
      <c r="AB28" s="1"/>
      <c r="AD28" t="s">
        <v>16</v>
      </c>
      <c r="AE28" s="11">
        <v>1250</v>
      </c>
      <c r="AI28" s="9"/>
      <c r="AJ28" s="1"/>
      <c r="AL28" t="s">
        <v>16</v>
      </c>
      <c r="AM28" s="11">
        <v>1350</v>
      </c>
    </row>
    <row r="29" spans="3:39" x14ac:dyDescent="0.3">
      <c r="C29" s="9"/>
      <c r="G29" s="11"/>
      <c r="K29" s="9"/>
      <c r="L29" s="1"/>
      <c r="O29" s="11"/>
      <c r="S29" s="9"/>
      <c r="T29" s="1"/>
      <c r="W29" s="11"/>
      <c r="AA29" s="9"/>
      <c r="AB29" s="1"/>
      <c r="AE29" s="11"/>
      <c r="AI29" s="9"/>
      <c r="AJ29" s="1"/>
      <c r="AM29" s="11"/>
    </row>
    <row r="30" spans="3:39" ht="15" thickBot="1" x14ac:dyDescent="0.35">
      <c r="C30" s="12" t="s">
        <v>12</v>
      </c>
      <c r="D30" s="13">
        <v>0.3</v>
      </c>
      <c r="E30" s="14"/>
      <c r="F30" s="15">
        <f>G26*D30</f>
        <v>6597</v>
      </c>
      <c r="G30" s="16"/>
      <c r="K30" s="12" t="s">
        <v>12</v>
      </c>
      <c r="L30" s="13">
        <v>0.3</v>
      </c>
      <c r="M30" s="14"/>
      <c r="N30" s="15">
        <f>O26*L30</f>
        <v>7650</v>
      </c>
      <c r="O30" s="16"/>
      <c r="S30" s="12" t="s">
        <v>12</v>
      </c>
      <c r="T30" s="13">
        <v>0.3</v>
      </c>
      <c r="U30" s="14"/>
      <c r="V30" s="15">
        <f>W26*T30</f>
        <v>9000</v>
      </c>
      <c r="W30" s="16"/>
      <c r="AA30" s="12" t="s">
        <v>12</v>
      </c>
      <c r="AB30" s="13">
        <v>0.3</v>
      </c>
      <c r="AC30" s="14"/>
      <c r="AD30" s="15">
        <f>AE26*AB30</f>
        <v>11250</v>
      </c>
      <c r="AE30" s="16"/>
      <c r="AI30" s="12" t="s">
        <v>12</v>
      </c>
      <c r="AJ30" s="13">
        <v>0.3</v>
      </c>
      <c r="AK30" s="14"/>
      <c r="AL30" s="15">
        <f>AM26*AJ30</f>
        <v>12150</v>
      </c>
      <c r="AM30" s="16"/>
    </row>
    <row r="36" spans="7:32" x14ac:dyDescent="0.3">
      <c r="G36" s="1" t="s">
        <v>37</v>
      </c>
      <c r="H36">
        <v>665</v>
      </c>
      <c r="I36" t="s">
        <v>29</v>
      </c>
      <c r="J36" t="s">
        <v>36</v>
      </c>
      <c r="S36" s="21"/>
      <c r="T36" s="21" t="s">
        <v>20</v>
      </c>
      <c r="U36" s="21"/>
      <c r="V36" s="21" t="s">
        <v>21</v>
      </c>
      <c r="W36" s="21" t="s">
        <v>22</v>
      </c>
    </row>
    <row r="37" spans="7:32" x14ac:dyDescent="0.3">
      <c r="H37">
        <v>578</v>
      </c>
      <c r="I37" t="s">
        <v>28</v>
      </c>
      <c r="J37" t="s">
        <v>35</v>
      </c>
      <c r="S37" s="21" t="s">
        <v>19</v>
      </c>
      <c r="T37" s="21">
        <v>93</v>
      </c>
      <c r="U37" s="21"/>
      <c r="V37" s="21">
        <v>17.5</v>
      </c>
      <c r="W37" s="22">
        <f>T37*4*V37</f>
        <v>6510</v>
      </c>
    </row>
    <row r="38" spans="7:32" x14ac:dyDescent="0.3">
      <c r="H38">
        <v>694</v>
      </c>
      <c r="I38" t="s">
        <v>30</v>
      </c>
      <c r="J38" t="s">
        <v>34</v>
      </c>
    </row>
    <row r="39" spans="7:32" x14ac:dyDescent="0.3">
      <c r="G39" s="1" t="s">
        <v>24</v>
      </c>
      <c r="H39">
        <v>747</v>
      </c>
      <c r="I39" t="s">
        <v>27</v>
      </c>
      <c r="J39" t="s">
        <v>33</v>
      </c>
      <c r="AF39" s="24"/>
    </row>
    <row r="40" spans="7:32" x14ac:dyDescent="0.3">
      <c r="H40">
        <v>873</v>
      </c>
      <c r="I40" t="s">
        <v>26</v>
      </c>
      <c r="J40" t="s">
        <v>32</v>
      </c>
    </row>
    <row r="41" spans="7:32" x14ac:dyDescent="0.3">
      <c r="H41">
        <v>846</v>
      </c>
      <c r="I41" t="s">
        <v>25</v>
      </c>
      <c r="J41" t="s">
        <v>31</v>
      </c>
    </row>
    <row r="62" spans="8:8" x14ac:dyDescent="0.3">
      <c r="H62">
        <f>AVERAGE(H36:H60)</f>
        <v>733.83333333333337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Ordonez</dc:creator>
  <cp:lastModifiedBy>Jesus Ordonez</cp:lastModifiedBy>
  <dcterms:created xsi:type="dcterms:W3CDTF">2015-06-05T18:17:20Z</dcterms:created>
  <dcterms:modified xsi:type="dcterms:W3CDTF">2025-04-14T01:29:45Z</dcterms:modified>
</cp:coreProperties>
</file>