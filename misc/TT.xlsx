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tbucket\misc\"/>
    </mc:Choice>
  </mc:AlternateContent>
  <bookViews>
    <workbookView minimized="1" xWindow="0" yWindow="0" windowWidth="21876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F20" i="1"/>
  <c r="G17" i="1"/>
  <c r="G15" i="1"/>
  <c r="G16" i="1"/>
  <c r="G11" i="1"/>
  <c r="G10" i="1"/>
  <c r="G14" i="1"/>
  <c r="G4" i="1" l="1"/>
  <c r="D4" i="1" l="1"/>
  <c r="I4" i="1" s="1"/>
  <c r="J4" i="1" s="1"/>
  <c r="D7" i="1" s="1"/>
  <c r="E7" i="1" s="1"/>
  <c r="K62" i="1" l="1"/>
  <c r="G13" i="1" l="1"/>
  <c r="D27" i="1" l="1"/>
  <c r="D18" i="1"/>
  <c r="G12" i="1"/>
  <c r="F12" i="1"/>
  <c r="G26" i="1"/>
  <c r="F26" i="1"/>
  <c r="E26" i="1"/>
  <c r="G21" i="1"/>
  <c r="G22" i="1"/>
  <c r="G23" i="1"/>
  <c r="G24" i="1"/>
  <c r="F21" i="1"/>
  <c r="F22" i="1"/>
  <c r="F23" i="1"/>
  <c r="F24" i="1"/>
  <c r="E21" i="1"/>
  <c r="E22" i="1"/>
  <c r="E23" i="1"/>
  <c r="E24" i="1"/>
  <c r="G20" i="1"/>
  <c r="E18" i="1" l="1"/>
  <c r="F18" i="1"/>
  <c r="G18" i="1"/>
  <c r="G27" i="1"/>
  <c r="F27" i="1"/>
  <c r="G29" i="1" l="1"/>
  <c r="F29" i="1"/>
  <c r="E27" i="1"/>
  <c r="E29" i="1" s="1"/>
  <c r="D29" i="1" l="1"/>
</calcChain>
</file>

<file path=xl/sharedStrings.xml><?xml version="1.0" encoding="utf-8"?>
<sst xmlns="http://schemas.openxmlformats.org/spreadsheetml/2006/main" count="89" uniqueCount="80">
  <si>
    <t>Sold</t>
  </si>
  <si>
    <t>Budget</t>
  </si>
  <si>
    <t>car ins</t>
  </si>
  <si>
    <t>phone/tv/int</t>
  </si>
  <si>
    <t>health ins</t>
  </si>
  <si>
    <t>Total</t>
  </si>
  <si>
    <t>prop tax</t>
  </si>
  <si>
    <t>food</t>
  </si>
  <si>
    <t>entertainment</t>
  </si>
  <si>
    <t>misc</t>
  </si>
  <si>
    <t>home ins</t>
  </si>
  <si>
    <t>Month Amount</t>
  </si>
  <si>
    <t>Year Amount</t>
  </si>
  <si>
    <t>travel</t>
  </si>
  <si>
    <t>pers care</t>
  </si>
  <si>
    <t>utilities</t>
  </si>
  <si>
    <t>Sub Total</t>
  </si>
  <si>
    <t>golf</t>
  </si>
  <si>
    <t>Week Amount</t>
  </si>
  <si>
    <t>Day Amount</t>
  </si>
  <si>
    <t>Dates</t>
  </si>
  <si>
    <t>Olivia to move to UCSC</t>
  </si>
  <si>
    <t>Pasay Ownership/Corp</t>
  </si>
  <si>
    <t>GPP prop tax</t>
  </si>
  <si>
    <t>Task</t>
  </si>
  <si>
    <t>Form corporation in Philippines</t>
  </si>
  <si>
    <t>transfer pasay to corporation</t>
  </si>
  <si>
    <t>life insurance</t>
  </si>
  <si>
    <t>Profit</t>
  </si>
  <si>
    <t>Owe</t>
  </si>
  <si>
    <t>loan</t>
  </si>
  <si>
    <t>int rate</t>
  </si>
  <si>
    <t>principal+int</t>
  </si>
  <si>
    <t>loan term 30</t>
  </si>
  <si>
    <t>DownPay</t>
  </si>
  <si>
    <t>loan term 15</t>
  </si>
  <si>
    <t>Fix Tarrytown</t>
  </si>
  <si>
    <t>buy/install dishwasher</t>
  </si>
  <si>
    <t xml:space="preserve">buy/install oven 1 </t>
  </si>
  <si>
    <t>clean floors</t>
  </si>
  <si>
    <t>fix/paint outside</t>
  </si>
  <si>
    <t>fix/paint inside</t>
  </si>
  <si>
    <t>$ Amount</t>
  </si>
  <si>
    <t>mortage</t>
  </si>
  <si>
    <t>fix sliding doors</t>
  </si>
  <si>
    <t>plant outside</t>
  </si>
  <si>
    <t>fix screen</t>
  </si>
  <si>
    <t>fix faucit outside</t>
  </si>
  <si>
    <t>fix pavers outside</t>
  </si>
  <si>
    <t>8 12 2020</t>
  </si>
  <si>
    <t>rent in San Carlos 1 mo</t>
  </si>
  <si>
    <t>rent in San Carlos 2 mo</t>
  </si>
  <si>
    <t>buy light and numbers</t>
  </si>
  <si>
    <t>Date</t>
  </si>
  <si>
    <t>buy broken tiles</t>
  </si>
  <si>
    <t>bring ,elisa</t>
  </si>
  <si>
    <t>public storage</t>
  </si>
  <si>
    <t>uhall</t>
  </si>
  <si>
    <t>titles</t>
  </si>
  <si>
    <t>??</t>
  </si>
  <si>
    <t>fix broken lights</t>
  </si>
  <si>
    <t>electritian</t>
  </si>
  <si>
    <t xml:space="preserve">solar inverter </t>
  </si>
  <si>
    <t>solar panel diagnosis</t>
  </si>
  <si>
    <t>Bay area Express</t>
  </si>
  <si>
    <t>buy microwave</t>
  </si>
  <si>
    <t>Buy</t>
  </si>
  <si>
    <t>nuersery</t>
  </si>
  <si>
    <t>microwqre trim</t>
  </si>
  <si>
    <t>Improvements</t>
  </si>
  <si>
    <t>Exclusion</t>
  </si>
  <si>
    <t>Tax</t>
  </si>
  <si>
    <t>Available</t>
  </si>
  <si>
    <t>Commission</t>
  </si>
  <si>
    <t>lights pendats</t>
  </si>
  <si>
    <t>rent in San Carlos 3 mo</t>
  </si>
  <si>
    <t>address change</t>
  </si>
  <si>
    <t>chase</t>
  </si>
  <si>
    <t>united</t>
  </si>
  <si>
    <t>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</si>
</sst>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$&quot;#,##0.00_);\(&quot;$&quot;#,##0.00\)"/>
    <numFmt numFmtId="164" formatCode="&quot;$&quot;#,##0.00"/>
    <numFmt numFmtId="165" formatCode="&quot;$&quot;#,##0"/>
    <numFmt numFmtId="166" formatCode="[$-409]mmmm\ d\,\ yyyy;@"/>
    <numFmt numFmtId="167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Fill="1" applyBorder="1"/>
    <xf numFmtId="166" fontId="0" fillId="0" borderId="1" xfId="0" applyNumberFormat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Border="1" applyAlignment="1">
      <alignment horizontal="center"/>
    </xf>
    <xf numFmtId="3" fontId="0" fillId="0" borderId="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67" fontId="0" fillId="4" borderId="1" xfId="0" applyNumberFormat="1" applyFill="1" applyBorder="1" applyAlignment="1">
      <alignment horizontal="center"/>
    </xf>
    <xf numFmtId="167" fontId="1" fillId="4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7" fontId="0" fillId="0" borderId="1" xfId="0" applyNumberFormat="1" applyFont="1" applyBorder="1" applyAlignment="1">
      <alignment horizontal="center"/>
    </xf>
    <xf numFmtId="7" fontId="0" fillId="0" borderId="0" xfId="0" applyNumberFormat="1" applyAlignment="1">
      <alignment horizontal="center"/>
    </xf>
    <xf numFmtId="7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72"/>
  <sheetViews>
    <sheetView tabSelected="1" topLeftCell="A25" workbookViewId="0">
      <selection activeCell="D42" sqref="D42"/>
    </sheetView>
  </sheetViews>
  <sheetFormatPr defaultRowHeight="14.4" x14ac:dyDescent="0.3"/>
  <cols>
    <col min="3" max="3" width="15.44140625" customWidth="1"/>
    <col min="4" max="4" width="14.88671875" customWidth="1"/>
    <col min="5" max="5" width="14" customWidth="1"/>
    <col min="6" max="6" width="15.109375" customWidth="1"/>
    <col min="7" max="7" width="15" customWidth="1"/>
    <col min="8" max="8" width="15.88671875" customWidth="1"/>
    <col min="9" max="9" width="16.5546875" customWidth="1"/>
    <col min="10" max="10" width="21.44140625" customWidth="1"/>
    <col min="11" max="11" width="13.33203125" customWidth="1"/>
    <col min="12" max="12" width="19.109375" customWidth="1"/>
    <col min="13" max="13" width="24.44140625" customWidth="1"/>
    <col min="14" max="14" width="35.44140625" customWidth="1"/>
  </cols>
  <sheetData>
    <row r="3" spans="2:14" x14ac:dyDescent="0.3">
      <c r="B3" s="2"/>
      <c r="C3" s="3" t="s">
        <v>0</v>
      </c>
      <c r="D3" s="3" t="s">
        <v>28</v>
      </c>
      <c r="E3" s="4" t="s">
        <v>69</v>
      </c>
      <c r="F3" s="4" t="s">
        <v>70</v>
      </c>
      <c r="G3" s="4" t="s">
        <v>73</v>
      </c>
      <c r="H3" s="4" t="s">
        <v>29</v>
      </c>
      <c r="I3" s="47" t="s">
        <v>71</v>
      </c>
      <c r="J3" s="47" t="s">
        <v>72</v>
      </c>
      <c r="K3" s="22"/>
      <c r="L3" s="7"/>
      <c r="M3" s="22"/>
    </row>
    <row r="4" spans="2:14" s="2" customFormat="1" x14ac:dyDescent="0.3">
      <c r="C4" s="49">
        <v>2200000</v>
      </c>
      <c r="D4" s="49">
        <f t="shared" ref="D4" si="0">C4-530000</f>
        <v>1670000</v>
      </c>
      <c r="E4" s="49">
        <v>275000</v>
      </c>
      <c r="F4" s="49">
        <v>500000</v>
      </c>
      <c r="G4" s="49">
        <f t="shared" ref="G4" si="1">(C4)*0.05</f>
        <v>110000</v>
      </c>
      <c r="H4" s="49">
        <v>735000</v>
      </c>
      <c r="I4" s="48">
        <f t="shared" ref="I4" si="2">(D4-(E4+F4+G4))*0.3</f>
        <v>235500</v>
      </c>
      <c r="J4" s="48">
        <f>C4-(H4+I4+G4)</f>
        <v>1119500</v>
      </c>
      <c r="K4" s="26"/>
      <c r="L4" s="7"/>
      <c r="M4" s="46"/>
    </row>
    <row r="5" spans="2:14" s="2" customFormat="1" x14ac:dyDescent="0.3">
      <c r="C5" s="44"/>
      <c r="D5" s="44"/>
      <c r="E5" s="44"/>
      <c r="F5" s="44"/>
      <c r="G5" s="44"/>
      <c r="H5" s="44"/>
      <c r="J5" s="26"/>
      <c r="K5" s="26"/>
      <c r="L5" s="7"/>
      <c r="M5" s="46"/>
    </row>
    <row r="6" spans="2:14" x14ac:dyDescent="0.3">
      <c r="B6" s="2"/>
      <c r="C6" s="3" t="s">
        <v>66</v>
      </c>
      <c r="D6" s="3" t="s">
        <v>72</v>
      </c>
      <c r="E6" s="4" t="s">
        <v>29</v>
      </c>
      <c r="F6" s="7"/>
      <c r="G6" s="2"/>
      <c r="H6" s="2"/>
      <c r="J6" s="7"/>
      <c r="K6" s="7"/>
      <c r="L6" s="23"/>
      <c r="M6" s="23"/>
    </row>
    <row r="7" spans="2:14" x14ac:dyDescent="0.3">
      <c r="B7" s="26"/>
      <c r="C7" s="49">
        <v>1400000</v>
      </c>
      <c r="D7" s="49">
        <f>J4</f>
        <v>1119500</v>
      </c>
      <c r="E7" s="49">
        <f t="shared" ref="E7" si="3">C7-D7</f>
        <v>280500</v>
      </c>
      <c r="F7" s="45"/>
      <c r="G7" s="24"/>
      <c r="H7" s="24"/>
      <c r="I7" s="28"/>
      <c r="J7" s="27"/>
    </row>
    <row r="8" spans="2:14" x14ac:dyDescent="0.3">
      <c r="B8" s="2"/>
      <c r="C8" s="2"/>
      <c r="D8" s="2"/>
      <c r="E8" s="2"/>
      <c r="F8" s="2"/>
      <c r="G8" s="7"/>
      <c r="H8" s="7"/>
    </row>
    <row r="9" spans="2:14" x14ac:dyDescent="0.3">
      <c r="B9" s="2"/>
      <c r="C9" s="4" t="s">
        <v>1</v>
      </c>
      <c r="D9" s="4" t="s">
        <v>19</v>
      </c>
      <c r="E9" s="4" t="s">
        <v>18</v>
      </c>
      <c r="F9" s="4" t="s">
        <v>11</v>
      </c>
      <c r="G9" s="4" t="s">
        <v>12</v>
      </c>
      <c r="H9" s="7"/>
      <c r="I9" s="23"/>
      <c r="J9" s="4" t="s">
        <v>20</v>
      </c>
      <c r="K9" s="4" t="s">
        <v>24</v>
      </c>
      <c r="M9" s="7"/>
      <c r="N9" s="7"/>
    </row>
    <row r="10" spans="2:14" x14ac:dyDescent="0.3">
      <c r="B10" s="2"/>
      <c r="C10" s="13" t="s">
        <v>2</v>
      </c>
      <c r="D10" s="33"/>
      <c r="E10" s="33"/>
      <c r="F10" s="33">
        <v>150</v>
      </c>
      <c r="G10" s="33">
        <f>F10*12</f>
        <v>1800</v>
      </c>
      <c r="H10" s="8"/>
      <c r="I10" s="22"/>
      <c r="J10" s="21">
        <v>44420</v>
      </c>
      <c r="K10" s="19" t="s">
        <v>22</v>
      </c>
      <c r="M10" s="51"/>
      <c r="N10" s="52"/>
    </row>
    <row r="11" spans="2:14" x14ac:dyDescent="0.3">
      <c r="B11" s="2"/>
      <c r="C11" s="13" t="s">
        <v>10</v>
      </c>
      <c r="D11" s="33"/>
      <c r="E11" s="33"/>
      <c r="F11" s="33">
        <v>155</v>
      </c>
      <c r="G11" s="33">
        <f>F11*12</f>
        <v>1860</v>
      </c>
      <c r="H11" s="2"/>
      <c r="I11" s="22"/>
      <c r="J11" s="21">
        <v>44440</v>
      </c>
      <c r="K11" s="19" t="s">
        <v>21</v>
      </c>
      <c r="M11" s="51"/>
      <c r="N11" s="22"/>
    </row>
    <row r="12" spans="2:14" x14ac:dyDescent="0.3">
      <c r="B12" s="2"/>
      <c r="C12" s="13" t="s">
        <v>4</v>
      </c>
      <c r="D12" s="33"/>
      <c r="E12" s="33"/>
      <c r="F12" s="33">
        <f>D12*30</f>
        <v>0</v>
      </c>
      <c r="G12" s="33">
        <f>D12*365</f>
        <v>0</v>
      </c>
      <c r="H12" s="2"/>
      <c r="I12" s="22"/>
      <c r="J12" s="21"/>
      <c r="K12" s="19" t="s">
        <v>25</v>
      </c>
      <c r="M12" s="51"/>
      <c r="N12" s="22"/>
    </row>
    <row r="13" spans="2:14" x14ac:dyDescent="0.3">
      <c r="B13" s="2"/>
      <c r="C13" s="13" t="s">
        <v>43</v>
      </c>
      <c r="D13" s="33"/>
      <c r="E13" s="33"/>
      <c r="F13" s="33">
        <v>1187</v>
      </c>
      <c r="G13" s="33">
        <f>F13*12</f>
        <v>14244</v>
      </c>
      <c r="H13" s="2"/>
      <c r="I13" s="22"/>
      <c r="J13" s="21"/>
      <c r="K13" s="19" t="s">
        <v>26</v>
      </c>
      <c r="M13" s="51"/>
      <c r="N13" s="22"/>
    </row>
    <row r="14" spans="2:14" x14ac:dyDescent="0.3">
      <c r="B14" s="2"/>
      <c r="C14" s="13" t="s">
        <v>6</v>
      </c>
      <c r="D14" s="33"/>
      <c r="E14" s="33"/>
      <c r="F14" s="33">
        <v>1400</v>
      </c>
      <c r="G14" s="33">
        <f>F14*12</f>
        <v>16800</v>
      </c>
      <c r="H14" s="2"/>
      <c r="I14" s="22"/>
      <c r="J14" s="21"/>
      <c r="K14" s="19" t="s">
        <v>27</v>
      </c>
      <c r="M14" s="51"/>
      <c r="N14" s="22"/>
    </row>
    <row r="15" spans="2:14" x14ac:dyDescent="0.3">
      <c r="B15" s="2"/>
      <c r="C15" s="13" t="s">
        <v>3</v>
      </c>
      <c r="D15" s="33"/>
      <c r="E15" s="33"/>
      <c r="F15" s="33">
        <v>120</v>
      </c>
      <c r="G15" s="33">
        <f t="shared" ref="G15:G17" si="4">F15*12</f>
        <v>1440</v>
      </c>
      <c r="H15" s="2"/>
      <c r="I15" s="22"/>
      <c r="J15" s="21"/>
      <c r="K15" s="19"/>
      <c r="M15" s="51"/>
      <c r="N15" s="22"/>
    </row>
    <row r="16" spans="2:14" x14ac:dyDescent="0.3">
      <c r="B16" s="2"/>
      <c r="C16" s="13" t="s">
        <v>15</v>
      </c>
      <c r="D16" s="33"/>
      <c r="E16" s="33"/>
      <c r="F16" s="33">
        <v>500</v>
      </c>
      <c r="G16" s="33">
        <f t="shared" si="4"/>
        <v>6000</v>
      </c>
      <c r="H16" s="2"/>
      <c r="I16" s="7"/>
      <c r="J16" s="21"/>
      <c r="K16" s="19"/>
      <c r="M16" s="51"/>
      <c r="N16" s="22"/>
    </row>
    <row r="17" spans="2:15" x14ac:dyDescent="0.3">
      <c r="B17" s="2"/>
      <c r="C17" s="13" t="s">
        <v>23</v>
      </c>
      <c r="D17" s="33"/>
      <c r="E17" s="33"/>
      <c r="F17" s="33">
        <v>100</v>
      </c>
      <c r="G17" s="33">
        <f t="shared" si="4"/>
        <v>1200</v>
      </c>
      <c r="H17" s="2"/>
      <c r="I17" s="7"/>
      <c r="J17" s="21"/>
      <c r="K17" s="20"/>
      <c r="M17" s="51"/>
      <c r="N17" s="52"/>
    </row>
    <row r="18" spans="2:15" x14ac:dyDescent="0.3">
      <c r="B18" s="2"/>
      <c r="C18" s="14" t="s">
        <v>16</v>
      </c>
      <c r="D18" s="34">
        <f>SUM(D10:D17)</f>
        <v>0</v>
      </c>
      <c r="E18" s="34">
        <f>SUM(E10:E17)</f>
        <v>0</v>
      </c>
      <c r="F18" s="34">
        <f>SUM(F10:F17)</f>
        <v>3612</v>
      </c>
      <c r="G18" s="34">
        <f>SUM(G10:G17)</f>
        <v>43344</v>
      </c>
      <c r="H18" s="2"/>
      <c r="I18" s="7"/>
      <c r="J18" s="21"/>
      <c r="K18" s="19"/>
      <c r="M18" s="51"/>
      <c r="N18" s="22"/>
    </row>
    <row r="19" spans="2:15" x14ac:dyDescent="0.3">
      <c r="B19" s="2"/>
      <c r="C19" s="5"/>
      <c r="D19" s="35"/>
      <c r="E19" s="35"/>
      <c r="F19" s="35"/>
      <c r="G19" s="35"/>
      <c r="H19" s="2"/>
      <c r="J19" s="21"/>
      <c r="K19" s="19"/>
      <c r="M19" s="51"/>
      <c r="N19" s="22"/>
    </row>
    <row r="20" spans="2:15" x14ac:dyDescent="0.3">
      <c r="B20" s="2"/>
      <c r="C20" s="11" t="s">
        <v>7</v>
      </c>
      <c r="D20" s="12">
        <v>20</v>
      </c>
      <c r="E20" s="12">
        <f>(D20*7)</f>
        <v>140</v>
      </c>
      <c r="F20" s="12">
        <f>(D20*30)</f>
        <v>600</v>
      </c>
      <c r="G20" s="12">
        <f>D20*365</f>
        <v>7300</v>
      </c>
      <c r="H20" s="2"/>
      <c r="J20" s="21"/>
      <c r="K20" s="19"/>
      <c r="M20" s="51"/>
      <c r="N20" s="22"/>
    </row>
    <row r="21" spans="2:15" x14ac:dyDescent="0.3">
      <c r="B21" s="2"/>
      <c r="C21" s="11" t="s">
        <v>13</v>
      </c>
      <c r="D21" s="12"/>
      <c r="E21" s="12">
        <f t="shared" ref="E21:E24" si="5">(D21*7)</f>
        <v>0</v>
      </c>
      <c r="F21" s="12">
        <f t="shared" ref="F21:F24" si="6">(D21*30)</f>
        <v>0</v>
      </c>
      <c r="G21" s="12">
        <f t="shared" ref="G21:G24" si="7">D21*365</f>
        <v>0</v>
      </c>
      <c r="H21" s="2"/>
      <c r="J21" s="21"/>
      <c r="K21" s="19"/>
      <c r="M21" s="51"/>
      <c r="N21" s="22"/>
    </row>
    <row r="22" spans="2:15" x14ac:dyDescent="0.3">
      <c r="B22" s="2"/>
      <c r="C22" s="11" t="s">
        <v>8</v>
      </c>
      <c r="D22" s="12"/>
      <c r="E22" s="12">
        <f t="shared" si="5"/>
        <v>0</v>
      </c>
      <c r="F22" s="12">
        <f t="shared" si="6"/>
        <v>0</v>
      </c>
      <c r="G22" s="12">
        <f t="shared" si="7"/>
        <v>0</v>
      </c>
      <c r="H22" s="2"/>
      <c r="J22" s="21"/>
      <c r="K22" s="19"/>
      <c r="M22" s="51"/>
      <c r="N22" s="22"/>
    </row>
    <row r="23" spans="2:15" x14ac:dyDescent="0.3">
      <c r="B23" s="2"/>
      <c r="C23" s="11" t="s">
        <v>17</v>
      </c>
      <c r="D23" s="12"/>
      <c r="E23" s="12">
        <f t="shared" si="5"/>
        <v>0</v>
      </c>
      <c r="F23" s="12">
        <f t="shared" si="6"/>
        <v>0</v>
      </c>
      <c r="G23" s="12">
        <f t="shared" si="7"/>
        <v>0</v>
      </c>
      <c r="H23" s="2"/>
    </row>
    <row r="24" spans="2:15" x14ac:dyDescent="0.3">
      <c r="B24" s="2"/>
      <c r="C24" s="11" t="s">
        <v>9</v>
      </c>
      <c r="D24" s="12">
        <v>200</v>
      </c>
      <c r="E24" s="12">
        <f t="shared" si="5"/>
        <v>1400</v>
      </c>
      <c r="F24" s="12">
        <f t="shared" si="6"/>
        <v>6000</v>
      </c>
      <c r="G24" s="12">
        <f t="shared" si="7"/>
        <v>73000</v>
      </c>
      <c r="H24" s="2"/>
      <c r="I24" s="25"/>
      <c r="J24" s="5"/>
      <c r="K24" s="5"/>
      <c r="L24" s="5"/>
    </row>
    <row r="25" spans="2:15" x14ac:dyDescent="0.3">
      <c r="B25" s="2"/>
      <c r="C25" s="5"/>
      <c r="D25" s="6"/>
      <c r="E25" s="6"/>
      <c r="F25" s="6"/>
      <c r="G25" s="6"/>
      <c r="H25" s="2"/>
      <c r="I25" s="26"/>
      <c r="J25" s="4" t="s">
        <v>36</v>
      </c>
      <c r="K25" s="4" t="s">
        <v>42</v>
      </c>
      <c r="L25" s="4" t="s">
        <v>53</v>
      </c>
      <c r="M25" s="32"/>
      <c r="N25" s="23"/>
      <c r="O25" s="23"/>
    </row>
    <row r="26" spans="2:15" x14ac:dyDescent="0.3">
      <c r="B26" s="2"/>
      <c r="C26" s="9" t="s">
        <v>14</v>
      </c>
      <c r="D26" s="10"/>
      <c r="E26" s="10">
        <f>D26*7</f>
        <v>0</v>
      </c>
      <c r="F26" s="10">
        <f>D26*30</f>
        <v>0</v>
      </c>
      <c r="G26" s="10">
        <f>D26*365</f>
        <v>0</v>
      </c>
      <c r="H26" s="2"/>
      <c r="I26" s="26"/>
      <c r="J26" s="29" t="s">
        <v>40</v>
      </c>
      <c r="K26" s="39">
        <v>5494</v>
      </c>
      <c r="L26" s="37">
        <v>44109</v>
      </c>
      <c r="M26" s="32"/>
      <c r="N26" s="30"/>
    </row>
    <row r="27" spans="2:15" x14ac:dyDescent="0.3">
      <c r="B27" s="2"/>
      <c r="C27" s="15" t="s">
        <v>16</v>
      </c>
      <c r="D27" s="17">
        <f>SUM(D20:D26)</f>
        <v>220</v>
      </c>
      <c r="E27" s="17">
        <f>SUM(E20:E26)</f>
        <v>1540</v>
      </c>
      <c r="F27" s="17">
        <f>SUM(F20:F26)</f>
        <v>6600</v>
      </c>
      <c r="G27" s="17">
        <f>SUM(G20:G26)</f>
        <v>80300</v>
      </c>
      <c r="H27" s="2"/>
      <c r="I27" s="26"/>
      <c r="J27" s="29" t="s">
        <v>37</v>
      </c>
      <c r="K27" s="39">
        <v>1155.3699999999999</v>
      </c>
      <c r="L27" s="37">
        <v>44159</v>
      </c>
      <c r="M27" s="32"/>
      <c r="N27" s="30"/>
    </row>
    <row r="28" spans="2:15" s="18" customFormat="1" x14ac:dyDescent="0.3">
      <c r="B28" s="16"/>
      <c r="C28" s="5"/>
      <c r="D28" s="6"/>
      <c r="E28" s="6"/>
      <c r="F28" s="6"/>
      <c r="G28" s="6"/>
      <c r="H28" s="16"/>
      <c r="I28" s="26"/>
      <c r="J28" s="29" t="s">
        <v>38</v>
      </c>
      <c r="K28" s="39">
        <v>1420.32</v>
      </c>
      <c r="L28" s="37">
        <v>44160</v>
      </c>
      <c r="M28" s="32"/>
      <c r="N28" s="30"/>
    </row>
    <row r="29" spans="2:15" x14ac:dyDescent="0.3">
      <c r="B29" s="2"/>
      <c r="C29" s="4" t="s">
        <v>5</v>
      </c>
      <c r="D29" s="6">
        <f>(D18+D27)</f>
        <v>220</v>
      </c>
      <c r="E29" s="6">
        <f>(E18+E27)</f>
        <v>1540</v>
      </c>
      <c r="F29" s="6">
        <f>(F18+F27)</f>
        <v>10212</v>
      </c>
      <c r="G29" s="6">
        <f>G18+G27</f>
        <v>123644</v>
      </c>
      <c r="H29" s="2"/>
      <c r="I29" s="26"/>
      <c r="J29" s="29" t="s">
        <v>65</v>
      </c>
      <c r="K29" s="39">
        <v>360.26</v>
      </c>
      <c r="L29" s="37">
        <v>44162</v>
      </c>
      <c r="M29" s="32"/>
      <c r="N29" s="26"/>
    </row>
    <row r="30" spans="2:15" x14ac:dyDescent="0.3">
      <c r="B30" s="2"/>
      <c r="C30" s="4"/>
      <c r="D30" s="5"/>
      <c r="E30" s="5"/>
      <c r="F30" s="5"/>
      <c r="G30" s="5"/>
      <c r="H30" s="1"/>
      <c r="I30" s="26"/>
      <c r="J30" s="29" t="s">
        <v>54</v>
      </c>
      <c r="K30" s="39">
        <v>64.45</v>
      </c>
      <c r="L30" s="29" t="s">
        <v>49</v>
      </c>
      <c r="M30" s="32"/>
      <c r="N30" s="26"/>
    </row>
    <row r="31" spans="2:15" x14ac:dyDescent="0.3">
      <c r="H31" s="2"/>
      <c r="I31" s="26"/>
      <c r="J31" s="29" t="s">
        <v>44</v>
      </c>
      <c r="K31" s="39">
        <v>575</v>
      </c>
      <c r="L31" s="37">
        <v>44089</v>
      </c>
      <c r="M31" s="32"/>
      <c r="N31" s="26"/>
    </row>
    <row r="32" spans="2:15" x14ac:dyDescent="0.3">
      <c r="I32" s="30"/>
      <c r="J32" s="29" t="s">
        <v>46</v>
      </c>
      <c r="K32" s="39">
        <v>117</v>
      </c>
      <c r="L32" s="37">
        <v>44098</v>
      </c>
      <c r="M32" s="32"/>
      <c r="N32" s="26"/>
    </row>
    <row r="33" spans="3:14" x14ac:dyDescent="0.3">
      <c r="I33" s="36"/>
      <c r="J33" s="29" t="s">
        <v>61</v>
      </c>
      <c r="K33" s="39">
        <v>87</v>
      </c>
      <c r="L33" s="37">
        <v>44157</v>
      </c>
      <c r="M33" s="32"/>
      <c r="N33" s="26"/>
    </row>
    <row r="34" spans="3:14" x14ac:dyDescent="0.3">
      <c r="C34" s="5"/>
      <c r="D34" s="5"/>
      <c r="E34" s="4"/>
      <c r="F34" s="4" t="s">
        <v>33</v>
      </c>
      <c r="G34" s="4" t="s">
        <v>35</v>
      </c>
      <c r="I34" s="30"/>
      <c r="J34" s="29" t="s">
        <v>67</v>
      </c>
      <c r="K34" s="39">
        <v>44</v>
      </c>
      <c r="L34" s="37">
        <v>44163</v>
      </c>
      <c r="M34" s="32"/>
      <c r="N34" s="26"/>
    </row>
    <row r="35" spans="3:14" x14ac:dyDescent="0.3">
      <c r="C35" s="4" t="s">
        <v>30</v>
      </c>
      <c r="D35" s="4" t="s">
        <v>31</v>
      </c>
      <c r="E35" s="4" t="s">
        <v>34</v>
      </c>
      <c r="F35" s="4" t="s">
        <v>32</v>
      </c>
      <c r="G35" s="4" t="s">
        <v>32</v>
      </c>
      <c r="H35" s="26"/>
      <c r="I35" s="30"/>
      <c r="J35" s="29" t="s">
        <v>47</v>
      </c>
      <c r="K35" s="39"/>
      <c r="L35" s="29"/>
      <c r="M35" s="38"/>
      <c r="N35" s="26"/>
    </row>
    <row r="36" spans="3:14" x14ac:dyDescent="0.3">
      <c r="C36" s="31">
        <v>300000</v>
      </c>
      <c r="D36" s="4">
        <v>2.5</v>
      </c>
      <c r="E36" s="4"/>
      <c r="F36" s="4">
        <v>1185.3699999999999</v>
      </c>
      <c r="G36" s="29"/>
      <c r="H36" s="7"/>
      <c r="I36" s="30"/>
      <c r="J36" s="29" t="s">
        <v>45</v>
      </c>
      <c r="K36" s="39">
        <v>400</v>
      </c>
      <c r="L36" s="37">
        <v>44151</v>
      </c>
      <c r="M36" s="38"/>
      <c r="N36" s="26"/>
    </row>
    <row r="37" spans="3:14" x14ac:dyDescent="0.3">
      <c r="C37" s="30"/>
      <c r="D37" s="30"/>
      <c r="E37" s="30"/>
      <c r="F37" s="30"/>
      <c r="G37" s="30"/>
      <c r="H37" s="30"/>
      <c r="I37" s="30"/>
      <c r="J37" s="29" t="s">
        <v>48</v>
      </c>
      <c r="K37" s="39">
        <v>900</v>
      </c>
      <c r="L37" s="37">
        <v>44105</v>
      </c>
      <c r="M37" s="38"/>
      <c r="N37" s="26"/>
    </row>
    <row r="38" spans="3:14" x14ac:dyDescent="0.3">
      <c r="C38" s="27"/>
      <c r="D38" s="30"/>
      <c r="E38" s="30"/>
      <c r="F38" s="30"/>
      <c r="G38" s="30"/>
      <c r="H38" s="30"/>
      <c r="I38" s="26"/>
      <c r="J38" s="29" t="s">
        <v>41</v>
      </c>
      <c r="K38" s="39">
        <v>7139</v>
      </c>
      <c r="L38" s="37">
        <v>44147</v>
      </c>
      <c r="M38" s="32"/>
      <c r="N38" s="7"/>
    </row>
    <row r="39" spans="3:14" x14ac:dyDescent="0.3">
      <c r="C39" s="27" t="s">
        <v>76</v>
      </c>
      <c r="D39" s="30" t="s">
        <v>77</v>
      </c>
      <c r="E39" s="30"/>
      <c r="F39" s="30"/>
      <c r="G39" s="30"/>
      <c r="H39" s="30"/>
      <c r="I39" s="26"/>
      <c r="J39" s="29"/>
      <c r="K39" s="39"/>
      <c r="L39" s="37"/>
      <c r="M39" s="32"/>
    </row>
    <row r="40" spans="3:14" x14ac:dyDescent="0.3">
      <c r="C40" s="50"/>
      <c r="D40" s="30" t="s">
        <v>78</v>
      </c>
      <c r="E40" s="30"/>
      <c r="F40" s="30"/>
      <c r="G40" s="30"/>
      <c r="H40" s="30"/>
      <c r="I40" s="30"/>
      <c r="J40" s="5" t="s">
        <v>63</v>
      </c>
      <c r="K40" s="41">
        <v>350</v>
      </c>
      <c r="L40" s="43">
        <v>44155</v>
      </c>
      <c r="M40" s="38"/>
    </row>
    <row r="41" spans="3:14" x14ac:dyDescent="0.3">
      <c r="C41" s="30"/>
      <c r="D41" s="30" t="s">
        <v>79</v>
      </c>
      <c r="E41" s="30"/>
      <c r="F41" s="30"/>
      <c r="G41" s="30"/>
      <c r="H41" s="30"/>
      <c r="I41" s="30"/>
      <c r="J41" s="5" t="s">
        <v>62</v>
      </c>
      <c r="K41" s="41">
        <v>1463</v>
      </c>
      <c r="L41" s="43">
        <v>44159</v>
      </c>
      <c r="M41" s="38"/>
    </row>
    <row r="42" spans="3:14" x14ac:dyDescent="0.3">
      <c r="C42" s="30"/>
      <c r="D42" s="30"/>
      <c r="E42" s="30"/>
      <c r="F42" s="30"/>
      <c r="G42" s="30"/>
      <c r="H42" s="30"/>
      <c r="I42" s="30"/>
      <c r="J42" s="29" t="s">
        <v>68</v>
      </c>
      <c r="K42" s="39">
        <v>126.73</v>
      </c>
      <c r="L42" s="37">
        <v>44162</v>
      </c>
      <c r="M42" s="32"/>
    </row>
    <row r="43" spans="3:14" x14ac:dyDescent="0.3">
      <c r="C43" s="30"/>
      <c r="D43" s="30"/>
      <c r="E43" s="30"/>
      <c r="F43" s="30"/>
      <c r="G43" s="30"/>
      <c r="H43" s="30"/>
      <c r="I43" s="26"/>
      <c r="J43" s="29" t="s">
        <v>39</v>
      </c>
      <c r="K43" s="39"/>
      <c r="L43" s="29"/>
      <c r="M43" s="32"/>
    </row>
    <row r="44" spans="3:14" x14ac:dyDescent="0.3">
      <c r="C44" s="30"/>
      <c r="D44" s="30"/>
      <c r="E44" s="30"/>
      <c r="F44" s="30"/>
      <c r="G44" s="30"/>
      <c r="H44" s="30"/>
      <c r="I44" s="30"/>
      <c r="J44" s="29"/>
      <c r="K44" s="39"/>
      <c r="L44" s="29"/>
      <c r="M44" s="38"/>
    </row>
    <row r="45" spans="3:14" x14ac:dyDescent="0.3">
      <c r="C45" s="27"/>
      <c r="D45" s="30"/>
      <c r="E45" s="30"/>
      <c r="F45" s="30"/>
      <c r="G45" s="30"/>
      <c r="H45" s="30"/>
      <c r="I45" s="30"/>
      <c r="J45" s="42" t="s">
        <v>50</v>
      </c>
      <c r="K45" s="39">
        <v>3405</v>
      </c>
      <c r="L45" s="37">
        <v>44135</v>
      </c>
      <c r="M45" s="38"/>
    </row>
    <row r="46" spans="3:14" x14ac:dyDescent="0.3">
      <c r="C46" s="30"/>
      <c r="D46" s="30"/>
      <c r="E46" s="30"/>
      <c r="F46" s="30"/>
      <c r="G46" s="30"/>
      <c r="H46" s="30"/>
      <c r="I46" s="30"/>
      <c r="J46" s="42" t="s">
        <v>51</v>
      </c>
      <c r="K46" s="39">
        <v>2405</v>
      </c>
      <c r="L46" s="37">
        <v>44166</v>
      </c>
      <c r="M46" s="38"/>
    </row>
    <row r="47" spans="3:14" x14ac:dyDescent="0.3">
      <c r="C47" s="30"/>
      <c r="D47" s="30"/>
      <c r="E47" s="30"/>
      <c r="F47" s="30"/>
      <c r="G47" s="30"/>
      <c r="H47" s="30"/>
      <c r="I47" s="30"/>
      <c r="J47" s="42" t="s">
        <v>52</v>
      </c>
      <c r="K47" s="39">
        <v>490</v>
      </c>
      <c r="L47" s="37">
        <v>44132</v>
      </c>
      <c r="M47" s="38" t="s">
        <v>59</v>
      </c>
    </row>
    <row r="48" spans="3:14" x14ac:dyDescent="0.3">
      <c r="D48" s="36"/>
      <c r="H48" s="30"/>
      <c r="I48" s="30"/>
      <c r="J48" s="29"/>
      <c r="K48" s="39"/>
      <c r="L48" s="37"/>
      <c r="M48" s="38"/>
    </row>
    <row r="49" spans="4:13" x14ac:dyDescent="0.3">
      <c r="D49" s="36"/>
      <c r="H49" s="30"/>
      <c r="I49" s="30"/>
      <c r="J49" s="29" t="s">
        <v>60</v>
      </c>
      <c r="K49" s="39">
        <v>86.41</v>
      </c>
      <c r="L49" s="37">
        <v>44154</v>
      </c>
      <c r="M49" s="38"/>
    </row>
    <row r="50" spans="4:13" x14ac:dyDescent="0.3">
      <c r="H50" s="30"/>
      <c r="I50" s="30"/>
      <c r="J50" s="29" t="s">
        <v>64</v>
      </c>
      <c r="K50" s="39">
        <v>125</v>
      </c>
      <c r="L50" s="37">
        <v>44130</v>
      </c>
      <c r="M50" s="38"/>
    </row>
    <row r="51" spans="4:13" x14ac:dyDescent="0.3">
      <c r="D51" s="36"/>
      <c r="I51" s="22"/>
      <c r="J51" s="29" t="s">
        <v>64</v>
      </c>
      <c r="K51" s="39">
        <v>700</v>
      </c>
      <c r="L51" s="37">
        <v>44135</v>
      </c>
      <c r="M51" s="38"/>
    </row>
    <row r="52" spans="4:13" x14ac:dyDescent="0.3">
      <c r="D52" s="36"/>
      <c r="J52" s="29" t="s">
        <v>56</v>
      </c>
      <c r="K52" s="39">
        <v>458</v>
      </c>
      <c r="L52" s="37">
        <v>44119</v>
      </c>
      <c r="M52" s="38"/>
    </row>
    <row r="53" spans="4:13" x14ac:dyDescent="0.3">
      <c r="D53" s="36"/>
      <c r="J53" s="29" t="s">
        <v>56</v>
      </c>
      <c r="K53" s="39">
        <v>245.93</v>
      </c>
      <c r="L53" s="37">
        <v>44139</v>
      </c>
      <c r="M53" s="38"/>
    </row>
    <row r="54" spans="4:13" x14ac:dyDescent="0.3">
      <c r="D54" s="36"/>
      <c r="J54" s="5" t="s">
        <v>57</v>
      </c>
      <c r="K54" s="41">
        <v>15</v>
      </c>
      <c r="L54" s="43">
        <v>44142</v>
      </c>
    </row>
    <row r="55" spans="4:13" x14ac:dyDescent="0.3">
      <c r="D55" s="36"/>
      <c r="J55" s="5" t="s">
        <v>57</v>
      </c>
      <c r="K55" s="41">
        <v>83.75</v>
      </c>
      <c r="L55" s="43">
        <v>44142</v>
      </c>
    </row>
    <row r="56" spans="4:13" x14ac:dyDescent="0.3">
      <c r="D56" s="36"/>
      <c r="J56" s="5" t="s">
        <v>58</v>
      </c>
      <c r="K56" s="41">
        <v>65</v>
      </c>
      <c r="L56" s="43">
        <v>44146</v>
      </c>
    </row>
    <row r="57" spans="4:13" x14ac:dyDescent="0.3">
      <c r="D57" s="36"/>
      <c r="J57" s="29" t="s">
        <v>56</v>
      </c>
      <c r="K57" s="39">
        <v>434</v>
      </c>
      <c r="L57" s="37">
        <v>44164</v>
      </c>
    </row>
    <row r="58" spans="4:13" x14ac:dyDescent="0.3">
      <c r="D58" s="36"/>
      <c r="J58" s="5" t="s">
        <v>74</v>
      </c>
      <c r="K58" s="41">
        <v>500</v>
      </c>
      <c r="L58" s="43">
        <v>44180</v>
      </c>
    </row>
    <row r="59" spans="4:13" x14ac:dyDescent="0.3">
      <c r="J59" s="5" t="s">
        <v>56</v>
      </c>
      <c r="K59" s="41">
        <v>458</v>
      </c>
      <c r="L59" s="43">
        <v>44197</v>
      </c>
    </row>
    <row r="60" spans="4:13" x14ac:dyDescent="0.3">
      <c r="J60" s="5" t="s">
        <v>75</v>
      </c>
      <c r="K60" s="41">
        <v>1800</v>
      </c>
      <c r="L60" s="43">
        <v>44198</v>
      </c>
    </row>
    <row r="61" spans="4:13" x14ac:dyDescent="0.3">
      <c r="J61" s="5"/>
      <c r="K61" s="41"/>
      <c r="L61" s="5"/>
    </row>
    <row r="62" spans="4:13" x14ac:dyDescent="0.3">
      <c r="K62" s="40">
        <f>SUM(K26:K61)</f>
        <v>30967.22</v>
      </c>
    </row>
    <row r="72" spans="10:10" x14ac:dyDescent="0.3">
      <c r="J72" t="s">
        <v>55</v>
      </c>
    </row>
  </sheetData>
  <sortState ref="I34:M53">
    <sortCondition ref="I34:I53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Tripwire,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Ordonez</dc:creator>
  <cp:lastModifiedBy>Jesus Ordonez</cp:lastModifiedBy>
  <dcterms:created xsi:type="dcterms:W3CDTF">2019-07-12T16:45:00Z</dcterms:created>
  <dcterms:modified xsi:type="dcterms:W3CDTF">2021-01-12T18:03:48Z</dcterms:modified>
</cp:coreProperties>
</file>