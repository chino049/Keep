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<sst xmlns="http://schemas.openxmlformats.org/spreadsheetml/2006/main" count="44" uniqueCount="44">
  <si>
    <t>Profit and Loss</t>
  </si>
  <si>
    <t>Patinio</t>
  </si>
  <si>
    <t>For the year ended 31 December 2021</t>
  </si>
  <si>
    <t>Account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</si>
  <si>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</si>
  <si>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</si>
  <si>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</si>
  <si>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</si>
  <si>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</si>
  <si>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</si>
  <si>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</si>
  <si>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</si>
  <si>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</si>
  <si>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</si>
  <si>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</si>
  <si>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</si>
  <si>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Year to date</t>
  </si>
  <si>
    <t>Trading Income</t>
  </si>
  <si>
    <t>Sales</t>
  </si>
  <si>
    <t>Total Trading Income</t>
  </si>
  <si>
    <t>Gross Profit</t>
  </si>
  <si>
    <t>Operating Expenses</t>
  </si>
  <si>
    <t>Building Insurance</t>
  </si>
  <si>
    <t>Christmas Gifts</t>
  </si>
  <si>
    <t>Cleaning</t>
  </si>
  <si>
    <t>Depreciation</t>
  </si>
  <si>
    <t>Depreciation Expense Building Account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</si>
  <si>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</si>
  <si>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</si>
  <si>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</si>
  <si>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</si>
  <si>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</si>
  <si>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</si>
  <si>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</si>
  <si>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</si>
  <si>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Motor Vehicle Expenses</t>
  </si>
  <si>
    <t>Payment to Owners</t>
  </si>
  <si>
    <t>Printing &amp; Stationery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</si>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</sst>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4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6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6.875" customWidth="1"/>
    <col min="2" max="13" width="8.50390625" customWidth="1"/>
    <col min="14" max="14" width="9.87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3.35" customHeight="true"/>
    <row r="5" ht="10.55" customHeight="tru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13.35" customHeight="true"/>
    <row r="7" ht="13" customHeight="true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0.55" customHeight="true">
      <c r="A8" s="6" t="s">
        <v>18</v>
      </c>
      <c r="B8" s="7">
        <v>232499.0500</v>
      </c>
      <c r="C8" s="7">
        <v>120435.0000</v>
      </c>
      <c r="D8" s="7">
        <v>155386.0000</v>
      </c>
      <c r="E8" s="7">
        <v>156989.0000</v>
      </c>
      <c r="F8" s="7">
        <v>136148.0000</v>
      </c>
      <c r="G8" s="7">
        <v>140770.0000</v>
      </c>
      <c r="H8" s="7">
        <v>145182.0000</v>
      </c>
      <c r="I8" s="7">
        <v>130130.0000</v>
      </c>
      <c r="J8" s="7">
        <v>148270.0000</v>
      </c>
      <c r="K8" s="7">
        <v>97724.0000</v>
      </c>
      <c r="L8" s="7">
        <v>146478.0000</v>
      </c>
      <c r="M8" s="7">
        <v>102038.0000</v>
      </c>
      <c r="N8" s="7">
        <v>1712049.0500</v>
      </c>
    </row>
    <row r="9" ht="10.55" customHeight="true">
      <c r="A9" s="8" t="s">
        <v>19</v>
      </c>
      <c r="B9" s="9">
        <f ca="1">B8</f>
        <v>0</v>
      </c>
      <c r="C9" s="9">
        <f ca="1">C8</f>
        <v>0</v>
      </c>
      <c r="D9" s="9">
        <f ca="1">D8</f>
        <v>0</v>
      </c>
      <c r="E9" s="9">
        <f ca="1">E8</f>
        <v>0</v>
      </c>
      <c r="F9" s="9">
        <f ca="1">F8</f>
        <v>0</v>
      </c>
      <c r="G9" s="9">
        <f ca="1">G8</f>
        <v>0</v>
      </c>
      <c r="H9" s="9">
        <f ca="1">H8</f>
        <v>0</v>
      </c>
      <c r="I9" s="9">
        <f ca="1">I8</f>
        <v>0</v>
      </c>
      <c r="J9" s="9">
        <f ca="1">J8</f>
        <v>0</v>
      </c>
      <c r="K9" s="9">
        <f ca="1">K8</f>
        <v>0</v>
      </c>
      <c r="L9" s="9">
        <f ca="1">L8</f>
        <v>0</v>
      </c>
      <c r="M9" s="9">
        <f ca="1">M8</f>
        <v>0</v>
      </c>
      <c r="N9" s="9">
        <f ca="1">N8</f>
        <v>0</v>
      </c>
    </row>
    <row r="10" ht="13.35" customHeight="true"/>
    <row r="11" ht="10.55" customHeight="true">
      <c r="A11" s="10" t="s">
        <v>20</v>
      </c>
      <c r="B11" s="11">
        <f ca="1">(B9 - 0)</f>
        <v>0</v>
      </c>
      <c r="C11" s="11">
        <f ca="1">(C9 - 0)</f>
        <v>0</v>
      </c>
      <c r="D11" s="11">
        <f ca="1">(D9 - 0)</f>
        <v>0</v>
      </c>
      <c r="E11" s="11">
        <f ca="1">(E9 - 0)</f>
        <v>0</v>
      </c>
      <c r="F11" s="11">
        <f ca="1">(F9 - 0)</f>
        <v>0</v>
      </c>
      <c r="G11" s="11">
        <f ca="1">(G9 - 0)</f>
        <v>0</v>
      </c>
      <c r="H11" s="11">
        <f ca="1">(H9 - 0)</f>
        <v>0</v>
      </c>
      <c r="I11" s="11">
        <f ca="1">(I9 - 0)</f>
        <v>0</v>
      </c>
      <c r="J11" s="11">
        <f ca="1">(J9 - 0)</f>
        <v>0</v>
      </c>
      <c r="K11" s="11">
        <f ca="1">(K9 - 0)</f>
        <v>0</v>
      </c>
      <c r="L11" s="11">
        <f ca="1">(L9 - 0)</f>
        <v>0</v>
      </c>
      <c r="M11" s="11">
        <f ca="1">(M9 - 0)</f>
        <v>0</v>
      </c>
      <c r="N11" s="11">
        <f ca="1">(N9 - 0)</f>
        <v>0</v>
      </c>
    </row>
    <row r="12" ht="13.35" customHeight="true"/>
    <row r="13" ht="13" customHeight="true">
      <c r="A13" s="5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0.55" customHeight="true">
      <c r="A14" s="6" t="s">
        <v>22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19136.0000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19136.0000</v>
      </c>
    </row>
    <row r="15" ht="10.55" customHeight="true">
      <c r="A15" s="12" t="s">
        <v>23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91300.0000</v>
      </c>
      <c r="N15" s="13">
        <v>91300.0000</v>
      </c>
    </row>
    <row r="16" ht="10.55" customHeight="true">
      <c r="A16" s="12" t="s">
        <v>24</v>
      </c>
      <c r="B16" s="13">
        <v>0</v>
      </c>
      <c r="C16" s="13">
        <v>0</v>
      </c>
      <c r="D16" s="13">
        <v>0</v>
      </c>
      <c r="E16" s="13">
        <v>0</v>
      </c>
      <c r="F16" s="13">
        <v>300.0000</v>
      </c>
      <c r="G16" s="13">
        <v>0</v>
      </c>
      <c r="H16" s="13">
        <v>0</v>
      </c>
      <c r="I16" s="13">
        <v>1300.0000</v>
      </c>
      <c r="J16" s="13">
        <v>751.0000</v>
      </c>
      <c r="K16" s="13">
        <v>0</v>
      </c>
      <c r="L16" s="13">
        <v>1025.0000</v>
      </c>
      <c r="M16" s="13">
        <v>1287.4500</v>
      </c>
      <c r="N16" s="13">
        <v>4663.4500</v>
      </c>
    </row>
    <row r="17" ht="10.55" customHeight="true">
      <c r="A17" s="12" t="s">
        <v>25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4000.0000</v>
      </c>
      <c r="L17" s="13">
        <v>0</v>
      </c>
      <c r="M17" s="13">
        <v>0</v>
      </c>
      <c r="N17" s="13">
        <v>4000.0000</v>
      </c>
    </row>
    <row r="18" ht="10.55" customHeight="true">
      <c r="A18" s="12" t="s">
        <v>26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10750.0000</v>
      </c>
      <c r="N18" s="13">
        <v>10750.0000</v>
      </c>
    </row>
    <row r="19" ht="10.55" customHeight="true">
      <c r="A19" s="12" t="s">
        <v>27</v>
      </c>
      <c r="B19" s="13">
        <v>0</v>
      </c>
      <c r="C19" s="13">
        <v>0</v>
      </c>
      <c r="D19" s="13">
        <v>650.0000</v>
      </c>
      <c r="E19" s="13">
        <v>0</v>
      </c>
      <c r="F19" s="13">
        <v>0</v>
      </c>
      <c r="G19" s="13">
        <v>720.0000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1370.0000</v>
      </c>
    </row>
    <row r="20" ht="10.55" customHeight="true">
      <c r="A20" s="12" t="s">
        <v>28</v>
      </c>
      <c r="B20" s="13">
        <v>0</v>
      </c>
      <c r="C20" s="13">
        <v>0</v>
      </c>
      <c r="D20" s="13">
        <v>12300.0000</v>
      </c>
      <c r="E20" s="13">
        <v>0</v>
      </c>
      <c r="F20" s="13">
        <v>40000.0000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1000.0000</v>
      </c>
      <c r="N20" s="13">
        <v>53300.0000</v>
      </c>
    </row>
    <row r="21" ht="10.55" customHeight="true">
      <c r="A21" s="12" t="s">
        <v>29</v>
      </c>
      <c r="B21" s="13">
        <v>3600.0000</v>
      </c>
      <c r="C21" s="13">
        <v>0</v>
      </c>
      <c r="D21" s="13">
        <v>0</v>
      </c>
      <c r="E21" s="13">
        <v>1200.0000</v>
      </c>
      <c r="F21" s="13">
        <v>0</v>
      </c>
      <c r="G21" s="13">
        <v>0</v>
      </c>
      <c r="H21" s="13">
        <v>370364.7800</v>
      </c>
      <c r="I21" s="13">
        <v>0</v>
      </c>
      <c r="J21" s="13">
        <v>0</v>
      </c>
      <c r="K21" s="13">
        <v>1200.0000</v>
      </c>
      <c r="L21" s="13">
        <v>0</v>
      </c>
      <c r="M21" s="13">
        <v>1200.0000</v>
      </c>
      <c r="N21" s="13">
        <v>377564.7800</v>
      </c>
    </row>
    <row r="22" ht="10.55" customHeight="true">
      <c r="A22" s="12" t="s">
        <v>30</v>
      </c>
      <c r="B22" s="13">
        <v>0</v>
      </c>
      <c r="C22" s="13">
        <v>0</v>
      </c>
      <c r="D22" s="13">
        <v>0</v>
      </c>
      <c r="E22" s="13">
        <v>8574.0000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8574.0000</v>
      </c>
    </row>
    <row r="23" ht="10.55" customHeight="true">
      <c r="A23" s="12" t="s">
        <v>31</v>
      </c>
      <c r="B23" s="13">
        <v>0</v>
      </c>
      <c r="C23" s="13">
        <v>2000.0000</v>
      </c>
      <c r="D23" s="13">
        <v>0</v>
      </c>
      <c r="E23" s="13">
        <v>1500.0000</v>
      </c>
      <c r="F23" s="13">
        <v>0</v>
      </c>
      <c r="G23" s="13">
        <v>0</v>
      </c>
      <c r="H23" s="13">
        <v>0</v>
      </c>
      <c r="I23" s="13">
        <v>700.0000</v>
      </c>
      <c r="J23" s="13">
        <v>0</v>
      </c>
      <c r="K23" s="13">
        <v>800.0000</v>
      </c>
      <c r="L23" s="13">
        <v>0</v>
      </c>
      <c r="M23" s="13">
        <v>3600.0000</v>
      </c>
      <c r="N23" s="13">
        <v>8600.0000</v>
      </c>
    </row>
    <row r="24" ht="10.55" customHeight="true">
      <c r="A24" s="12" t="s">
        <v>32</v>
      </c>
      <c r="B24" s="13">
        <v>1000.0000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10150.0000</v>
      </c>
      <c r="J24" s="13">
        <v>0</v>
      </c>
      <c r="K24" s="13">
        <v>0</v>
      </c>
      <c r="L24" s="13">
        <v>500.0000</v>
      </c>
      <c r="M24" s="13">
        <v>0</v>
      </c>
      <c r="N24" s="13">
        <v>11650.0000</v>
      </c>
    </row>
    <row r="25" ht="10.55" customHeight="true">
      <c r="A25" s="12" t="s">
        <v>33</v>
      </c>
      <c r="B25" s="13">
        <v>8609.5000</v>
      </c>
      <c r="C25" s="13">
        <v>2912.0000</v>
      </c>
      <c r="D25" s="13">
        <v>0</v>
      </c>
      <c r="E25" s="13">
        <v>3300.0000</v>
      </c>
      <c r="F25" s="13">
        <v>3434.2500</v>
      </c>
      <c r="G25" s="13">
        <v>930.0000</v>
      </c>
      <c r="H25" s="13">
        <v>32745.5000</v>
      </c>
      <c r="I25" s="13">
        <v>4290.0000</v>
      </c>
      <c r="J25" s="13">
        <v>0</v>
      </c>
      <c r="K25" s="13">
        <v>706.7500</v>
      </c>
      <c r="L25" s="13">
        <v>6000.0000</v>
      </c>
      <c r="M25" s="13">
        <v>16535.0000</v>
      </c>
      <c r="N25" s="13">
        <v>79463.0000</v>
      </c>
    </row>
    <row r="26" ht="10.55" customHeight="true">
      <c r="A26" s="12" t="s">
        <v>34</v>
      </c>
      <c r="B26" s="13">
        <v>20410.7500</v>
      </c>
      <c r="C26" s="13">
        <v>33058.6000</v>
      </c>
      <c r="D26" s="13">
        <v>31381.3400</v>
      </c>
      <c r="E26" s="13">
        <v>0</v>
      </c>
      <c r="F26" s="13">
        <v>69393.5600</v>
      </c>
      <c r="G26" s="13">
        <v>41125.1400</v>
      </c>
      <c r="H26" s="13">
        <v>31143.0800</v>
      </c>
      <c r="I26" s="13">
        <v>38847.2300</v>
      </c>
      <c r="J26" s="13">
        <v>0</v>
      </c>
      <c r="K26" s="13">
        <v>53748.8400</v>
      </c>
      <c r="L26" s="13">
        <v>32029.0700</v>
      </c>
      <c r="M26" s="13">
        <v>26281.4500</v>
      </c>
      <c r="N26" s="13">
        <v>377419.0600</v>
      </c>
    </row>
    <row r="27" ht="10.55" customHeight="true">
      <c r="A27" s="12" t="s">
        <v>35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500.0000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500.0000</v>
      </c>
    </row>
    <row r="28" ht="10.55" customHeight="true">
      <c r="A28" s="12" t="s">
        <v>36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50000.0000</v>
      </c>
      <c r="K28" s="13">
        <v>181400.0000</v>
      </c>
      <c r="L28" s="13">
        <v>0</v>
      </c>
      <c r="M28" s="13">
        <v>0</v>
      </c>
      <c r="N28" s="13">
        <v>231400.0000</v>
      </c>
    </row>
    <row r="29" ht="10.55" customHeight="true">
      <c r="A29" s="12" t="s">
        <v>37</v>
      </c>
      <c r="B29" s="13">
        <v>250.0000</v>
      </c>
      <c r="C29" s="13">
        <v>14.0000</v>
      </c>
      <c r="D29" s="13">
        <v>14.0000</v>
      </c>
      <c r="E29" s="13">
        <v>0</v>
      </c>
      <c r="F29" s="13">
        <v>38.0000</v>
      </c>
      <c r="G29" s="13">
        <v>24.0000</v>
      </c>
      <c r="H29" s="13">
        <v>12.0000</v>
      </c>
      <c r="I29" s="13">
        <v>12.0000</v>
      </c>
      <c r="J29" s="13">
        <v>0</v>
      </c>
      <c r="K29" s="13">
        <v>0</v>
      </c>
      <c r="L29" s="13">
        <v>0</v>
      </c>
      <c r="M29" s="13">
        <v>0</v>
      </c>
      <c r="N29" s="13">
        <v>364.0000</v>
      </c>
    </row>
    <row r="30" ht="10.55" customHeight="true">
      <c r="A30" s="12" t="s">
        <v>38</v>
      </c>
      <c r="B30" s="13">
        <v>23805.6500</v>
      </c>
      <c r="C30" s="13">
        <v>0</v>
      </c>
      <c r="D30" s="13">
        <v>15784.0000</v>
      </c>
      <c r="E30" s="13">
        <v>0</v>
      </c>
      <c r="F30" s="13">
        <v>0</v>
      </c>
      <c r="G30" s="13">
        <v>15685.0000</v>
      </c>
      <c r="H30" s="13">
        <v>5400.0000</v>
      </c>
      <c r="I30" s="13">
        <v>0</v>
      </c>
      <c r="J30" s="13">
        <v>15684.0000</v>
      </c>
      <c r="K30" s="13">
        <v>0</v>
      </c>
      <c r="L30" s="13">
        <v>0</v>
      </c>
      <c r="M30" s="13">
        <v>15684.0000</v>
      </c>
      <c r="N30" s="13">
        <v>92042.6500</v>
      </c>
    </row>
    <row r="31" ht="10.55" customHeight="true">
      <c r="A31" s="12" t="s">
        <v>39</v>
      </c>
      <c r="B31" s="13">
        <v>600.0000</v>
      </c>
      <c r="C31" s="13">
        <v>0</v>
      </c>
      <c r="D31" s="13">
        <v>0</v>
      </c>
      <c r="E31" s="13">
        <v>0</v>
      </c>
      <c r="F31" s="13">
        <v>0</v>
      </c>
      <c r="G31" s="13">
        <v>300.0000</v>
      </c>
      <c r="H31" s="13">
        <v>2300.0000</v>
      </c>
      <c r="I31" s="13">
        <v>0</v>
      </c>
      <c r="J31" s="13">
        <v>300.0000</v>
      </c>
      <c r="K31" s="13">
        <v>0</v>
      </c>
      <c r="L31" s="13">
        <v>200.0000</v>
      </c>
      <c r="M31" s="13">
        <v>0</v>
      </c>
      <c r="N31" s="13">
        <v>3700.0000</v>
      </c>
    </row>
    <row r="32" ht="10.55" customHeight="true">
      <c r="A32" s="12" t="s">
        <v>40</v>
      </c>
      <c r="B32" s="13">
        <v>23000.0000</v>
      </c>
      <c r="C32" s="13">
        <v>23000.0000</v>
      </c>
      <c r="D32" s="13">
        <v>46000.0000</v>
      </c>
      <c r="E32" s="13">
        <v>3900.0000</v>
      </c>
      <c r="F32" s="13">
        <v>25000.0000</v>
      </c>
      <c r="G32" s="13">
        <v>26900.0000</v>
      </c>
      <c r="H32" s="13">
        <v>46000.0000</v>
      </c>
      <c r="I32" s="13">
        <v>23000.0000</v>
      </c>
      <c r="J32" s="13">
        <v>23000.0000</v>
      </c>
      <c r="K32" s="13">
        <v>23000.0000</v>
      </c>
      <c r="L32" s="13">
        <v>46000.0000</v>
      </c>
      <c r="M32" s="13">
        <v>3900.0000</v>
      </c>
      <c r="N32" s="13">
        <v>312700.0000</v>
      </c>
    </row>
    <row r="33" ht="10.55" customHeight="true">
      <c r="A33" s="12" t="s">
        <v>41</v>
      </c>
      <c r="B33" s="13">
        <v>10878.4000</v>
      </c>
      <c r="C33" s="13">
        <v>14084.5000</v>
      </c>
      <c r="D33" s="13">
        <v>10419.5500</v>
      </c>
      <c r="E33" s="13">
        <v>13190.6000</v>
      </c>
      <c r="F33" s="13">
        <v>12562.6800</v>
      </c>
      <c r="G33" s="13">
        <v>12830.8300</v>
      </c>
      <c r="H33" s="13">
        <v>12205.1400</v>
      </c>
      <c r="I33" s="13">
        <v>0</v>
      </c>
      <c r="J33" s="13">
        <v>7932.1300</v>
      </c>
      <c r="K33" s="13">
        <v>8017.0000</v>
      </c>
      <c r="L33" s="13">
        <v>8801.4100</v>
      </c>
      <c r="M33" s="13">
        <v>11027.6300</v>
      </c>
      <c r="N33" s="13">
        <v>121949.8700</v>
      </c>
    </row>
    <row r="34" ht="10.55" customHeight="true">
      <c r="A34" s="8" t="s">
        <v>42</v>
      </c>
      <c r="B34" s="9">
        <f ca="1">SUM(B14:B33)</f>
        <v>0</v>
      </c>
      <c r="C34" s="9">
        <f ca="1">SUM(C14:C33)</f>
        <v>0</v>
      </c>
      <c r="D34" s="9">
        <f ca="1">SUM(D14:D33)</f>
        <v>0</v>
      </c>
      <c r="E34" s="9">
        <f ca="1">SUM(E14:E33)</f>
        <v>0</v>
      </c>
      <c r="F34" s="9">
        <f ca="1">SUM(F14:F33)</f>
        <v>0</v>
      </c>
      <c r="G34" s="9">
        <f ca="1">SUM(G14:G33)</f>
        <v>0</v>
      </c>
      <c r="H34" s="9">
        <f ca="1">SUM(H14:H33)</f>
        <v>0</v>
      </c>
      <c r="I34" s="9">
        <f ca="1">SUM(I14:I33)</f>
        <v>0</v>
      </c>
      <c r="J34" s="9">
        <f ca="1">SUM(J14:J33)</f>
        <v>0</v>
      </c>
      <c r="K34" s="9">
        <f ca="1">SUM(K14:K33)</f>
        <v>0</v>
      </c>
      <c r="L34" s="9">
        <f ca="1">SUM(L14:L33)</f>
        <v>0</v>
      </c>
      <c r="M34" s="9">
        <f ca="1">SUM(M14:M33)</f>
        <v>0</v>
      </c>
      <c r="N34" s="9">
        <f ca="1">SUM(N14:N33)</f>
        <v>0</v>
      </c>
    </row>
    <row r="35" ht="13.35" customHeight="true"/>
    <row r="36" ht="10.55" customHeight="true">
      <c r="A36" s="10" t="s">
        <v>43</v>
      </c>
      <c r="B36" s="11">
        <f ca="1">((B11 + 0) - B34)</f>
        <v>0</v>
      </c>
      <c r="C36" s="11">
        <f ca="1">((C11 + 0) - C34)</f>
        <v>0</v>
      </c>
      <c r="D36" s="11">
        <f ca="1">((D11 + 0) - D34)</f>
        <v>0</v>
      </c>
      <c r="E36" s="11">
        <f ca="1">((E11 + 0) - E34)</f>
        <v>0</v>
      </c>
      <c r="F36" s="11">
        <f ca="1">((F11 + 0) - F34)</f>
        <v>0</v>
      </c>
      <c r="G36" s="11">
        <f ca="1">((G11 + 0) - G34)</f>
        <v>0</v>
      </c>
      <c r="H36" s="11">
        <f ca="1">((H11 + 0) - H34)</f>
        <v>0</v>
      </c>
      <c r="I36" s="11">
        <f ca="1">((I11 + 0) - I34)</f>
        <v>0</v>
      </c>
      <c r="J36" s="11">
        <f ca="1">((J11 + 0) - J34)</f>
        <v>0</v>
      </c>
      <c r="K36" s="11">
        <f ca="1">((K11 + 0) - K34)</f>
        <v>0</v>
      </c>
      <c r="L36" s="11">
        <f ca="1">((L11 + 0) - L34)</f>
        <v>0</v>
      </c>
      <c r="M36" s="11">
        <f ca="1">((M11 + 0) - M34)</f>
        <v>0</v>
      </c>
      <c r="N36" s="11">
        <f ca="1">((N11 + 0) - N34)</f>
        <v>0</v>
      </c>
    </row>
  </sheetData>
  <mergeCells count="5">
    <mergeCell ref="A1:N1"/>
    <mergeCell ref="A2:N2"/>
    <mergeCell ref="A3:N3"/>
    <mergeCell ref="A7:N7"/>
    <mergeCell ref="A13:N1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