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<sst xmlns="http://schemas.openxmlformats.org/spreadsheetml/2006/main" count="43" uniqueCount="43">
  <si>
    <t>Profit and Loss</t>
  </si>
  <si>
    <t>Patinio</t>
  </si>
  <si>
    <t>For the year ended 31 December 2020</t>
  </si>
  <si>
    <t>Account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</si>
  <si>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</si>
  <si>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</si>
  <si>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</si>
  <si>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</si>
  <si>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</si>
  <si>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</si>
  <si>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</si>
  <si>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</si>
  <si>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</si>
  <si>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</si>
  <si>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</si>
  <si>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</si>
  <si>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Year to date</t>
  </si>
  <si>
    <t>Trading Income</t>
  </si>
  <si>
    <t>Sales</t>
  </si>
  <si>
    <t>Total Trading Income</t>
  </si>
  <si>
    <t>Gross Profit</t>
  </si>
  <si>
    <t>Operating Expenses</t>
  </si>
  <si>
    <t>Bank Fees</t>
  </si>
  <si>
    <t>Building Insurance</t>
  </si>
  <si>
    <t>Christmas Gifts</t>
  </si>
  <si>
    <t>Cleaning</t>
  </si>
  <si>
    <t>Depreciation Expense Building Account</t>
  </si>
  <si>
    <t>Food</t>
  </si>
  <si>
    <t>Garbage</t>
  </si>
  <si>
    <t>General Expenses</t>
  </si>
  <si>
    <t>Health Insurance</t>
  </si>
  <si>
    <t>Labor</t>
  </si>
  <si>
    <t>Legal expenses</t>
  </si>
  <si>
    <t>Materials, Repairs and Maintenance</t>
  </si>
  <si>
    <t>Meralco, Light, Power, Heating</t>
  </si>
  <si>
    <t>Payment to Owners</t>
  </si>
  <si>
    <t>Printing &amp; Stationery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</si>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</sst>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4" fontId="3" fillId="0" borderId="2" xfId="0" applyNumberFormat="true" applyFont="true" applyBorder="true" applyAlignment="true">
      <alignment horizontal="right" vertical="center"/>
    </xf>
    <xf numFmtId="0" fontId="3" fillId="2" borderId="3" xfId="0" applyFont="true" applyFill="true" applyBorder="true" applyAlignment="true">
      <alignment vertical="center"/>
    </xf>
    <xf numFmtId="164" fontId="3" fillId="2" borderId="3" xfId="0" applyNumberFormat="true" applyFont="true" applyFill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35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6.875" customWidth="1"/>
    <col min="2" max="5" width="8.50390625" customWidth="1"/>
    <col min="6" max="6" width="7.875" customWidth="1"/>
    <col min="7" max="8" width="8.50390625" customWidth="1"/>
    <col min="9" max="9" width="8.375" customWidth="1"/>
    <col min="10" max="11" width="8.50390625" customWidth="1"/>
    <col min="12" max="12" width="7.75390625" customWidth="1"/>
    <col min="13" max="13" width="8.50390625" customWidth="1"/>
    <col min="14" max="14" width="9.87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3.35" customHeight="true"/>
    <row r="5" ht="10.55" customHeight="tru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ht="13.35" customHeight="true"/>
    <row r="7" ht="13" customHeight="true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0.55" customHeight="true">
      <c r="A8" s="6" t="s">
        <v>18</v>
      </c>
      <c r="B8" s="7">
        <v>136509.0000</v>
      </c>
      <c r="C8" s="7">
        <v>129572.7900</v>
      </c>
      <c r="D8" s="7">
        <v>107650.6300</v>
      </c>
      <c r="E8" s="7">
        <v>108610.0000</v>
      </c>
      <c r="F8" s="7">
        <v>88791.0000</v>
      </c>
      <c r="G8" s="7">
        <v>151957.0000</v>
      </c>
      <c r="H8" s="7">
        <v>108756.0000</v>
      </c>
      <c r="I8" s="7">
        <v>117019.0000</v>
      </c>
      <c r="J8" s="7">
        <v>108507.0000</v>
      </c>
      <c r="K8" s="7">
        <v>105151.0000</v>
      </c>
      <c r="L8" s="7">
        <v>78935.8500</v>
      </c>
      <c r="M8" s="7">
        <v>135587.0000</v>
      </c>
      <c r="N8" s="7">
        <v>1377046.2700</v>
      </c>
    </row>
    <row r="9" ht="10.55" customHeight="true">
      <c r="A9" s="8" t="s">
        <v>19</v>
      </c>
      <c r="B9" s="9">
        <f ca="1">B8</f>
        <v>0</v>
      </c>
      <c r="C9" s="9">
        <f ca="1">C8</f>
        <v>0</v>
      </c>
      <c r="D9" s="9">
        <f ca="1">D8</f>
        <v>0</v>
      </c>
      <c r="E9" s="9">
        <f ca="1">E8</f>
        <v>0</v>
      </c>
      <c r="F9" s="9">
        <f ca="1">F8</f>
        <v>0</v>
      </c>
      <c r="G9" s="9">
        <f ca="1">G8</f>
        <v>0</v>
      </c>
      <c r="H9" s="9">
        <f ca="1">H8</f>
        <v>0</v>
      </c>
      <c r="I9" s="9">
        <f ca="1">I8</f>
        <v>0</v>
      </c>
      <c r="J9" s="9">
        <f ca="1">J8</f>
        <v>0</v>
      </c>
      <c r="K9" s="9">
        <f ca="1">K8</f>
        <v>0</v>
      </c>
      <c r="L9" s="9">
        <f ca="1">L8</f>
        <v>0</v>
      </c>
      <c r="M9" s="9">
        <f ca="1">M8</f>
        <v>0</v>
      </c>
      <c r="N9" s="9">
        <f ca="1">N8</f>
        <v>0</v>
      </c>
    </row>
    <row r="10" ht="13.35" customHeight="true"/>
    <row r="11" ht="10.55" customHeight="true">
      <c r="A11" s="10" t="s">
        <v>20</v>
      </c>
      <c r="B11" s="11">
        <f ca="1">(B9 - 0)</f>
        <v>0</v>
      </c>
      <c r="C11" s="11">
        <f ca="1">(C9 - 0)</f>
        <v>0</v>
      </c>
      <c r="D11" s="11">
        <f ca="1">(D9 - 0)</f>
        <v>0</v>
      </c>
      <c r="E11" s="11">
        <f ca="1">(E9 - 0)</f>
        <v>0</v>
      </c>
      <c r="F11" s="11">
        <f ca="1">(F9 - 0)</f>
        <v>0</v>
      </c>
      <c r="G11" s="11">
        <f ca="1">(G9 - 0)</f>
        <v>0</v>
      </c>
      <c r="H11" s="11">
        <f ca="1">(H9 - 0)</f>
        <v>0</v>
      </c>
      <c r="I11" s="11">
        <f ca="1">(I9 - 0)</f>
        <v>0</v>
      </c>
      <c r="J11" s="11">
        <f ca="1">(J9 - 0)</f>
        <v>0</v>
      </c>
      <c r="K11" s="11">
        <f ca="1">(K9 - 0)</f>
        <v>0</v>
      </c>
      <c r="L11" s="11">
        <f ca="1">(L9 - 0)</f>
        <v>0</v>
      </c>
      <c r="M11" s="11">
        <f ca="1">(M9 - 0)</f>
        <v>0</v>
      </c>
      <c r="N11" s="11">
        <f ca="1">(N9 - 0)</f>
        <v>0</v>
      </c>
    </row>
    <row r="12" ht="13.35" customHeight="true"/>
    <row r="13" ht="13" customHeight="true">
      <c r="A13" s="5" t="s">
        <v>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10.55" customHeight="true">
      <c r="A14" s="6" t="s">
        <v>22</v>
      </c>
      <c r="B14" s="7">
        <v>0</v>
      </c>
      <c r="C14" s="7">
        <v>0</v>
      </c>
      <c r="D14" s="7">
        <v>300.0000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300.0000</v>
      </c>
    </row>
    <row r="15" ht="10.55" customHeight="true">
      <c r="A15" s="12" t="s">
        <v>23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19132.0000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19132.0000</v>
      </c>
    </row>
    <row r="16" ht="10.55" customHeight="true">
      <c r="A16" s="12" t="s">
        <v>24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110000.0000</v>
      </c>
      <c r="N16" s="13">
        <v>110000.0000</v>
      </c>
    </row>
    <row r="17" ht="10.55" customHeight="true">
      <c r="A17" s="12" t="s">
        <v>25</v>
      </c>
      <c r="B17" s="13">
        <v>2010.0000</v>
      </c>
      <c r="C17" s="13">
        <v>649.0000</v>
      </c>
      <c r="D17" s="13">
        <v>0</v>
      </c>
      <c r="E17" s="13">
        <v>0</v>
      </c>
      <c r="F17" s="13">
        <v>450.0000</v>
      </c>
      <c r="G17" s="13">
        <v>438.2500</v>
      </c>
      <c r="H17" s="13">
        <v>200.0000</v>
      </c>
      <c r="I17" s="13">
        <v>670.0000</v>
      </c>
      <c r="J17" s="13">
        <v>0</v>
      </c>
      <c r="K17" s="13">
        <v>295.0000</v>
      </c>
      <c r="L17" s="13">
        <v>280.0000</v>
      </c>
      <c r="M17" s="13">
        <v>660.0000</v>
      </c>
      <c r="N17" s="13">
        <v>5652.2500</v>
      </c>
    </row>
    <row r="18" ht="10.55" customHeight="true">
      <c r="A18" s="12" t="s">
        <v>26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7204.0000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7204.0000</v>
      </c>
    </row>
    <row r="19" ht="10.55" customHeight="true">
      <c r="A19" s="12" t="s">
        <v>27</v>
      </c>
      <c r="B19" s="13">
        <v>0</v>
      </c>
      <c r="C19" s="13">
        <v>0</v>
      </c>
      <c r="D19" s="13">
        <v>22000.0000</v>
      </c>
      <c r="E19" s="13">
        <v>7200.0000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29200.0000</v>
      </c>
    </row>
    <row r="20" ht="10.55" customHeight="true">
      <c r="A20" s="12" t="s">
        <v>28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600.0000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600.0000</v>
      </c>
    </row>
    <row r="21" ht="10.55" customHeight="true">
      <c r="A21" s="12" t="s">
        <v>29</v>
      </c>
      <c r="B21" s="13">
        <v>0</v>
      </c>
      <c r="C21" s="13">
        <v>0</v>
      </c>
      <c r="D21" s="13">
        <v>0</v>
      </c>
      <c r="E21" s="13">
        <v>0</v>
      </c>
      <c r="F21" s="13">
        <v>5200.0000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5200.0000</v>
      </c>
    </row>
    <row r="22" ht="10.55" customHeight="true">
      <c r="A22" s="12" t="s">
        <v>30</v>
      </c>
      <c r="B22" s="13">
        <v>3600.0000</v>
      </c>
      <c r="C22" s="13">
        <v>1080.0000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1080.0000</v>
      </c>
      <c r="K22" s="13">
        <v>0</v>
      </c>
      <c r="L22" s="13">
        <v>0</v>
      </c>
      <c r="M22" s="13">
        <v>1110.0000</v>
      </c>
      <c r="N22" s="13">
        <v>6870.0000</v>
      </c>
    </row>
    <row r="23" ht="10.55" customHeight="true">
      <c r="A23" s="12" t="s">
        <v>31</v>
      </c>
      <c r="B23" s="13">
        <v>0</v>
      </c>
      <c r="C23" s="13">
        <v>0</v>
      </c>
      <c r="D23" s="13">
        <v>10000.0000</v>
      </c>
      <c r="E23" s="13">
        <v>0</v>
      </c>
      <c r="F23" s="13">
        <v>11200.0000</v>
      </c>
      <c r="G23" s="13">
        <v>0</v>
      </c>
      <c r="H23" s="13">
        <v>0</v>
      </c>
      <c r="I23" s="13">
        <v>0</v>
      </c>
      <c r="J23" s="13">
        <v>0</v>
      </c>
      <c r="K23" s="13">
        <v>800.0000</v>
      </c>
      <c r="L23" s="13">
        <v>0</v>
      </c>
      <c r="M23" s="13">
        <v>500.0000</v>
      </c>
      <c r="N23" s="13">
        <v>22500.0000</v>
      </c>
    </row>
    <row r="24" ht="10.55" customHeight="true">
      <c r="A24" s="12" t="s">
        <v>32</v>
      </c>
      <c r="B24" s="13">
        <v>0</v>
      </c>
      <c r="C24" s="13">
        <v>0</v>
      </c>
      <c r="D24" s="13">
        <v>0</v>
      </c>
      <c r="E24" s="13">
        <v>0</v>
      </c>
      <c r="F24" s="13">
        <v>15700.0000</v>
      </c>
      <c r="G24" s="13">
        <v>500.0000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500.0000</v>
      </c>
      <c r="N24" s="13">
        <v>16700.0000</v>
      </c>
    </row>
    <row r="25" ht="10.55" customHeight="true">
      <c r="A25" s="12" t="s">
        <v>33</v>
      </c>
      <c r="B25" s="13">
        <v>650.0000</v>
      </c>
      <c r="C25" s="13">
        <v>0</v>
      </c>
      <c r="D25" s="13">
        <v>11534.4000</v>
      </c>
      <c r="E25" s="13">
        <v>0</v>
      </c>
      <c r="F25" s="13">
        <v>6650.0000</v>
      </c>
      <c r="G25" s="13">
        <v>34543.1000</v>
      </c>
      <c r="H25" s="13">
        <v>0</v>
      </c>
      <c r="I25" s="13">
        <v>0</v>
      </c>
      <c r="J25" s="13">
        <v>474.0000</v>
      </c>
      <c r="K25" s="13">
        <v>0</v>
      </c>
      <c r="L25" s="13">
        <v>0</v>
      </c>
      <c r="M25" s="13">
        <v>26868.0000</v>
      </c>
      <c r="N25" s="13">
        <v>80719.5000</v>
      </c>
    </row>
    <row r="26" ht="10.55" customHeight="true">
      <c r="A26" s="12" t="s">
        <v>34</v>
      </c>
      <c r="B26" s="13">
        <v>49476.9200</v>
      </c>
      <c r="C26" s="13">
        <v>31342.3000</v>
      </c>
      <c r="D26" s="13">
        <v>0</v>
      </c>
      <c r="E26" s="13">
        <v>0</v>
      </c>
      <c r="F26" s="13">
        <v>70176.3400</v>
      </c>
      <c r="G26" s="13">
        <v>25151.9900</v>
      </c>
      <c r="H26" s="13">
        <v>26812.1000</v>
      </c>
      <c r="I26" s="13">
        <v>25756.5500</v>
      </c>
      <c r="J26" s="13">
        <v>35727.9900</v>
      </c>
      <c r="K26" s="13">
        <v>22766.4800</v>
      </c>
      <c r="L26" s="13">
        <v>20391.8100</v>
      </c>
      <c r="M26" s="13">
        <v>20680.0100</v>
      </c>
      <c r="N26" s="13">
        <v>328282.4900</v>
      </c>
    </row>
    <row r="27" ht="10.55" customHeight="true">
      <c r="A27" s="12" t="s">
        <v>35</v>
      </c>
      <c r="B27" s="13">
        <v>0</v>
      </c>
      <c r="C27" s="13">
        <v>14220.0000</v>
      </c>
      <c r="D27" s="13">
        <v>25300.0000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39520.0000</v>
      </c>
    </row>
    <row r="28" ht="10.55" customHeight="true">
      <c r="A28" s="12" t="s">
        <v>36</v>
      </c>
      <c r="B28" s="13">
        <v>36.0000</v>
      </c>
      <c r="C28" s="13">
        <v>24.0000</v>
      </c>
      <c r="D28" s="13">
        <v>12.0000</v>
      </c>
      <c r="E28" s="13">
        <v>0</v>
      </c>
      <c r="F28" s="13">
        <v>0</v>
      </c>
      <c r="G28" s="13">
        <v>170.0000</v>
      </c>
      <c r="H28" s="13">
        <v>20.0000</v>
      </c>
      <c r="I28" s="13">
        <v>12.0000</v>
      </c>
      <c r="J28" s="13">
        <v>20.0000</v>
      </c>
      <c r="K28" s="13">
        <v>12.0000</v>
      </c>
      <c r="L28" s="13">
        <v>0</v>
      </c>
      <c r="M28" s="13">
        <v>125.0000</v>
      </c>
      <c r="N28" s="13">
        <v>431.0000</v>
      </c>
    </row>
    <row r="29" ht="10.55" customHeight="true">
      <c r="A29" s="12" t="s">
        <v>37</v>
      </c>
      <c r="B29" s="13">
        <v>25035.6200</v>
      </c>
      <c r="C29" s="13">
        <v>0</v>
      </c>
      <c r="D29" s="13">
        <v>15684.8700</v>
      </c>
      <c r="E29" s="13">
        <v>5340.0000</v>
      </c>
      <c r="F29" s="13">
        <v>0</v>
      </c>
      <c r="G29" s="13">
        <v>15685.0000</v>
      </c>
      <c r="H29" s="13">
        <v>4560.0000</v>
      </c>
      <c r="I29" s="13">
        <v>0</v>
      </c>
      <c r="J29" s="13">
        <v>0</v>
      </c>
      <c r="K29" s="13">
        <v>24340.0000</v>
      </c>
      <c r="L29" s="13">
        <v>9760.0000</v>
      </c>
      <c r="M29" s="13">
        <v>18740.0000</v>
      </c>
      <c r="N29" s="13">
        <v>119145.4900</v>
      </c>
    </row>
    <row r="30" ht="10.55" customHeight="true">
      <c r="A30" s="12" t="s">
        <v>38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1000.0000</v>
      </c>
      <c r="H30" s="13">
        <v>300.0000</v>
      </c>
      <c r="I30" s="13">
        <v>0</v>
      </c>
      <c r="J30" s="13">
        <v>0</v>
      </c>
      <c r="K30" s="13">
        <v>0</v>
      </c>
      <c r="L30" s="13">
        <v>0</v>
      </c>
      <c r="M30" s="13">
        <v>300.0000</v>
      </c>
      <c r="N30" s="13">
        <v>1600.0000</v>
      </c>
    </row>
    <row r="31" ht="10.55" customHeight="true">
      <c r="A31" s="12" t="s">
        <v>39</v>
      </c>
      <c r="B31" s="13">
        <v>23000.0000</v>
      </c>
      <c r="C31" s="13">
        <v>26900.0000</v>
      </c>
      <c r="D31" s="13">
        <v>23000.0000</v>
      </c>
      <c r="E31" s="13">
        <v>26900.0000</v>
      </c>
      <c r="F31" s="13">
        <v>23000.0000</v>
      </c>
      <c r="G31" s="13">
        <v>35600.0000</v>
      </c>
      <c r="H31" s="13">
        <v>26900.0000</v>
      </c>
      <c r="I31" s="13">
        <v>23000.0000</v>
      </c>
      <c r="J31" s="13">
        <v>23000.0000</v>
      </c>
      <c r="K31" s="13">
        <v>23000.0000</v>
      </c>
      <c r="L31" s="13">
        <v>26900.0000</v>
      </c>
      <c r="M31" s="13">
        <v>23000.0000</v>
      </c>
      <c r="N31" s="13">
        <v>304200.0000</v>
      </c>
    </row>
    <row r="32" ht="10.55" customHeight="true">
      <c r="A32" s="12" t="s">
        <v>40</v>
      </c>
      <c r="B32" s="13">
        <v>9734.9400</v>
      </c>
      <c r="C32" s="13">
        <v>0</v>
      </c>
      <c r="D32" s="13">
        <v>10334.3000</v>
      </c>
      <c r="E32" s="13">
        <v>0</v>
      </c>
      <c r="F32" s="13">
        <v>0</v>
      </c>
      <c r="G32" s="13">
        <v>0</v>
      </c>
      <c r="H32" s="13">
        <v>37697.5700</v>
      </c>
      <c r="I32" s="13">
        <v>11510.7200</v>
      </c>
      <c r="J32" s="13">
        <v>0</v>
      </c>
      <c r="K32" s="13">
        <v>7775.9200</v>
      </c>
      <c r="L32" s="13">
        <v>8115.4600</v>
      </c>
      <c r="M32" s="13">
        <v>6830.0000</v>
      </c>
      <c r="N32" s="13">
        <v>91998.9100</v>
      </c>
    </row>
    <row r="33" ht="10.55" customHeight="true">
      <c r="A33" s="8" t="s">
        <v>41</v>
      </c>
      <c r="B33" s="9">
        <f ca="1">SUM(B14:B32)</f>
        <v>0</v>
      </c>
      <c r="C33" s="9">
        <f ca="1">SUM(C14:C32)</f>
        <v>0</v>
      </c>
      <c r="D33" s="9">
        <f ca="1">SUM(D14:D32)</f>
        <v>0</v>
      </c>
      <c r="E33" s="9">
        <f ca="1">SUM(E14:E32)</f>
        <v>0</v>
      </c>
      <c r="F33" s="9">
        <f ca="1">SUM(F14:F32)</f>
        <v>0</v>
      </c>
      <c r="G33" s="9">
        <f ca="1">SUM(G14:G32)</f>
        <v>0</v>
      </c>
      <c r="H33" s="9">
        <f ca="1">SUM(H14:H32)</f>
        <v>0</v>
      </c>
      <c r="I33" s="9">
        <f ca="1">SUM(I14:I32)</f>
        <v>0</v>
      </c>
      <c r="J33" s="9">
        <f ca="1">SUM(J14:J32)</f>
        <v>0</v>
      </c>
      <c r="K33" s="9">
        <f ca="1">SUM(K14:K32)</f>
        <v>0</v>
      </c>
      <c r="L33" s="9">
        <f ca="1">SUM(L14:L32)</f>
        <v>0</v>
      </c>
      <c r="M33" s="9">
        <f ca="1">SUM(M14:M32)</f>
        <v>0</v>
      </c>
      <c r="N33" s="9">
        <f ca="1">SUM(N14:N32)</f>
        <v>0</v>
      </c>
    </row>
    <row r="34" ht="13.35" customHeight="true"/>
    <row r="35" ht="10.55" customHeight="true">
      <c r="A35" s="10" t="s">
        <v>42</v>
      </c>
      <c r="B35" s="11">
        <f ca="1">((B11 + 0) - B33)</f>
        <v>0</v>
      </c>
      <c r="C35" s="11">
        <f ca="1">((C11 + 0) - C33)</f>
        <v>0</v>
      </c>
      <c r="D35" s="11">
        <f ca="1">((D11 + 0) - D33)</f>
        <v>0</v>
      </c>
      <c r="E35" s="11">
        <f ca="1">((E11 + 0) - E33)</f>
        <v>0</v>
      </c>
      <c r="F35" s="11">
        <f ca="1">((F11 + 0) - F33)</f>
        <v>0</v>
      </c>
      <c r="G35" s="11">
        <f ca="1">((G11 + 0) - G33)</f>
        <v>0</v>
      </c>
      <c r="H35" s="11">
        <f ca="1">((H11 + 0) - H33)</f>
        <v>0</v>
      </c>
      <c r="I35" s="11">
        <f ca="1">((I11 + 0) - I33)</f>
        <v>0</v>
      </c>
      <c r="J35" s="11">
        <f ca="1">((J11 + 0) - J33)</f>
        <v>0</v>
      </c>
      <c r="K35" s="11">
        <f ca="1">((K11 + 0) - K33)</f>
        <v>0</v>
      </c>
      <c r="L35" s="11">
        <f ca="1">((L11 + 0) - L33)</f>
        <v>0</v>
      </c>
      <c r="M35" s="11">
        <f ca="1">((M11 + 0) - M33)</f>
        <v>0</v>
      </c>
      <c r="N35" s="11">
        <f ca="1">((N11 + 0) - N33)</f>
        <v>0</v>
      </c>
    </row>
  </sheetData>
  <mergeCells count="5">
    <mergeCell ref="A1:N1"/>
    <mergeCell ref="A2:N2"/>
    <mergeCell ref="A3:N3"/>
    <mergeCell ref="A7:N7"/>
    <mergeCell ref="A13:N13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