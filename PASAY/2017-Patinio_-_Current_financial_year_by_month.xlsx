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<sst xmlns="http://schemas.openxmlformats.org/spreadsheetml/2006/main" count="46" uniqueCount="46">
  <si>
    <t>Profit and Loss</t>
  </si>
  <si>
    <t>Patinio</t>
  </si>
  <si>
    <t>For the year ended 31 December 2017</t>
  </si>
  <si>
    <t>Account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</si>
  <si>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</si>
  <si>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</si>
  <si>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</si>
  <si>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</si>
  <si>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</si>
  <si>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</si>
  <si>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</si>
  <si>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</si>
  <si>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</si>
  <si>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</si>
  <si>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</si>
  <si>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</si>
  <si>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Year to date</t>
  </si>
  <si>
    <t>Trading Income</t>
  </si>
  <si>
    <t>Other Revenue</t>
  </si>
  <si>
    <t>Sales</t>
  </si>
  <si>
    <t>Total Trading Income</t>
  </si>
  <si>
    <t>Gross Profit</t>
  </si>
  <si>
    <t>Operating Expenses</t>
  </si>
  <si>
    <t>Building Insurance</t>
  </si>
  <si>
    <t>Christmas Gifts</t>
  </si>
  <si>
    <t>Cleaning</t>
  </si>
  <si>
    <t>Depreciation Expense Building Account</t>
  </si>
  <si>
    <t>Entertainment</t>
  </si>
  <si>
    <t>Food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</si>
  <si>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</si>
  <si>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</si>
  <si>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</si>
  <si>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</si>
  <si>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</si>
  <si>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</si>
  <si>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</si>
  <si>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</si>
  <si>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</si>
  <si>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</si>
  <si>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Subscriptions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</si>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</sst>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4" fontId="3" fillId="0" borderId="2" xfId="0" applyNumberFormat="true" applyFont="true" applyBorder="true" applyAlignment="true">
      <alignment horizontal="right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38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6.875" customWidth="1"/>
    <col min="2" max="2" width="8.50390625" customWidth="1"/>
    <col min="3" max="3" width="8.375" customWidth="1"/>
    <col min="4" max="4" width="7.75390625" customWidth="1"/>
    <col min="5" max="6" width="8.50390625" customWidth="1"/>
    <col min="7" max="7" width="8.375" customWidth="1"/>
    <col min="8" max="13" width="8.50390625" customWidth="1"/>
    <col min="14" max="14" width="9.87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3.35" customHeight="true"/>
    <row r="5" ht="10.55" customHeight="tru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ht="13.35" customHeight="true"/>
    <row r="7" ht="13" customHeight="true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0.55" customHeight="true">
      <c r="A8" s="6" t="s">
        <v>18</v>
      </c>
      <c r="B8" s="7">
        <v>0</v>
      </c>
      <c r="C8" s="7">
        <v>0</v>
      </c>
      <c r="D8" s="7">
        <v>0</v>
      </c>
      <c r="E8" s="7">
        <v>5000.0000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5000.0000</v>
      </c>
    </row>
    <row r="9" ht="10.55" customHeight="true">
      <c r="A9" s="8" t="s">
        <v>19</v>
      </c>
      <c r="B9" s="9">
        <v>112811.0000</v>
      </c>
      <c r="C9" s="9">
        <v>113499.7000</v>
      </c>
      <c r="D9" s="9">
        <v>98968.0000</v>
      </c>
      <c r="E9" s="9">
        <v>103276.0000</v>
      </c>
      <c r="F9" s="9">
        <v>159748.8000</v>
      </c>
      <c r="G9" s="9">
        <v>118564.0000</v>
      </c>
      <c r="H9" s="9">
        <v>104666.0000</v>
      </c>
      <c r="I9" s="9">
        <v>104390.5000</v>
      </c>
      <c r="J9" s="9">
        <v>160947.0000</v>
      </c>
      <c r="K9" s="9">
        <v>125504.0000</v>
      </c>
      <c r="L9" s="9">
        <v>124413.0900</v>
      </c>
      <c r="M9" s="9">
        <v>122240.0000</v>
      </c>
      <c r="N9" s="9">
        <v>1449028.0900</v>
      </c>
    </row>
    <row r="10" ht="10.55" customHeight="true">
      <c r="A10" s="10" t="s">
        <v>20</v>
      </c>
      <c r="B10" s="11">
        <f ca="1">SUM(B8:B9)</f>
        <v>0</v>
      </c>
      <c r="C10" s="11">
        <f ca="1">SUM(C8:C9)</f>
        <v>0</v>
      </c>
      <c r="D10" s="11">
        <f ca="1">SUM(D8:D9)</f>
        <v>0</v>
      </c>
      <c r="E10" s="11">
        <f ca="1">SUM(E8:E9)</f>
        <v>0</v>
      </c>
      <c r="F10" s="11">
        <f ca="1">SUM(F8:F9)</f>
        <v>0</v>
      </c>
      <c r="G10" s="11">
        <f ca="1">SUM(G8:G9)</f>
        <v>0</v>
      </c>
      <c r="H10" s="11">
        <f ca="1">SUM(H8:H9)</f>
        <v>0</v>
      </c>
      <c r="I10" s="11">
        <f ca="1">SUM(I8:I9)</f>
        <v>0</v>
      </c>
      <c r="J10" s="11">
        <f ca="1">SUM(J8:J9)</f>
        <v>0</v>
      </c>
      <c r="K10" s="11">
        <f ca="1">SUM(K8:K9)</f>
        <v>0</v>
      </c>
      <c r="L10" s="11">
        <f ca="1">SUM(L8:L9)</f>
        <v>0</v>
      </c>
      <c r="M10" s="11">
        <f ca="1">SUM(M8:M9)</f>
        <v>0</v>
      </c>
      <c r="N10" s="11">
        <f ca="1">SUM(N8:N9)</f>
        <v>0</v>
      </c>
    </row>
    <row r="11" ht="13.35" customHeight="true"/>
    <row r="12" ht="10.55" customHeight="true">
      <c r="A12" s="12" t="s">
        <v>21</v>
      </c>
      <c r="B12" s="13">
        <f ca="1">(B10 - 0)</f>
        <v>0</v>
      </c>
      <c r="C12" s="13">
        <f ca="1">(C10 - 0)</f>
        <v>0</v>
      </c>
      <c r="D12" s="13">
        <f ca="1">(D10 - 0)</f>
        <v>0</v>
      </c>
      <c r="E12" s="13">
        <f ca="1">(E10 - 0)</f>
        <v>0</v>
      </c>
      <c r="F12" s="13">
        <f ca="1">(F10 - 0)</f>
        <v>0</v>
      </c>
      <c r="G12" s="13">
        <f ca="1">(G10 - 0)</f>
        <v>0</v>
      </c>
      <c r="H12" s="13">
        <f ca="1">(H10 - 0)</f>
        <v>0</v>
      </c>
      <c r="I12" s="13">
        <f ca="1">(I10 - 0)</f>
        <v>0</v>
      </c>
      <c r="J12" s="13">
        <f ca="1">(J10 - 0)</f>
        <v>0</v>
      </c>
      <c r="K12" s="13">
        <f ca="1">(K10 - 0)</f>
        <v>0</v>
      </c>
      <c r="L12" s="13">
        <f ca="1">(L10 - 0)</f>
        <v>0</v>
      </c>
      <c r="M12" s="13">
        <f ca="1">(M10 - 0)</f>
        <v>0</v>
      </c>
      <c r="N12" s="13">
        <f ca="1">(N10 - 0)</f>
        <v>0</v>
      </c>
    </row>
    <row r="13" ht="13.35" customHeight="true"/>
    <row r="14" ht="13" customHeight="true">
      <c r="A14" s="5" t="s">
        <v>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10.55" customHeight="true">
      <c r="A15" s="6" t="s">
        <v>23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19131.7000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19131.7000</v>
      </c>
    </row>
    <row r="16" ht="10.55" customHeight="true">
      <c r="A16" s="8" t="s">
        <v>24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49770.0000</v>
      </c>
      <c r="N16" s="9">
        <v>49770.0000</v>
      </c>
    </row>
    <row r="17" ht="10.55" customHeight="true">
      <c r="A17" s="8" t="s">
        <v>25</v>
      </c>
      <c r="B17" s="9">
        <v>1438.7500</v>
      </c>
      <c r="C17" s="9">
        <v>300.0000</v>
      </c>
      <c r="D17" s="9">
        <v>0</v>
      </c>
      <c r="E17" s="9">
        <v>0</v>
      </c>
      <c r="F17" s="9">
        <v>2800.0000</v>
      </c>
      <c r="G17" s="9">
        <v>0</v>
      </c>
      <c r="H17" s="9">
        <v>1840.0000</v>
      </c>
      <c r="I17" s="9">
        <v>0</v>
      </c>
      <c r="J17" s="9">
        <v>500.0000</v>
      </c>
      <c r="K17" s="9">
        <v>600.0000</v>
      </c>
      <c r="L17" s="9">
        <v>220.0000</v>
      </c>
      <c r="M17" s="9">
        <v>0</v>
      </c>
      <c r="N17" s="9">
        <v>7698.7500</v>
      </c>
    </row>
    <row r="18" ht="10.55" customHeight="true">
      <c r="A18" s="8" t="s">
        <v>26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17000.0000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17000.0000</v>
      </c>
    </row>
    <row r="19" ht="10.55" customHeight="true">
      <c r="A19" s="8" t="s">
        <v>27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2326.0000</v>
      </c>
      <c r="N19" s="9">
        <v>2326.0000</v>
      </c>
    </row>
    <row r="20" ht="10.55" customHeight="true">
      <c r="A20" s="8" t="s">
        <v>28</v>
      </c>
      <c r="B20" s="9">
        <v>0</v>
      </c>
      <c r="C20" s="9">
        <v>0</v>
      </c>
      <c r="D20" s="9">
        <v>0</v>
      </c>
      <c r="E20" s="9">
        <v>4200.0000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4200.0000</v>
      </c>
    </row>
    <row r="21" ht="10.55" customHeight="true">
      <c r="A21" s="8" t="s">
        <v>29</v>
      </c>
      <c r="B21" s="9">
        <v>930.0000</v>
      </c>
      <c r="C21" s="9">
        <v>0</v>
      </c>
      <c r="D21" s="9">
        <v>0</v>
      </c>
      <c r="E21" s="9">
        <v>600.0000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1300.0000</v>
      </c>
      <c r="M21" s="9">
        <v>0</v>
      </c>
      <c r="N21" s="9">
        <v>2830.0000</v>
      </c>
    </row>
    <row r="22" ht="10.55" customHeight="true">
      <c r="A22" s="8" t="s">
        <v>30</v>
      </c>
      <c r="B22" s="9">
        <v>94.7500</v>
      </c>
      <c r="C22" s="9">
        <v>0</v>
      </c>
      <c r="D22" s="9">
        <v>0</v>
      </c>
      <c r="E22" s="9">
        <v>0</v>
      </c>
      <c r="F22" s="9">
        <v>10616.0000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10710.7500</v>
      </c>
    </row>
    <row r="23" ht="10.55" customHeight="true">
      <c r="A23" s="8" t="s">
        <v>31</v>
      </c>
      <c r="B23" s="9">
        <v>2400.0000</v>
      </c>
      <c r="C23" s="9">
        <v>990.0000</v>
      </c>
      <c r="D23" s="9">
        <v>0</v>
      </c>
      <c r="E23" s="9">
        <v>0</v>
      </c>
      <c r="F23" s="9">
        <v>0</v>
      </c>
      <c r="G23" s="9">
        <v>990.0000</v>
      </c>
      <c r="H23" s="9">
        <v>0</v>
      </c>
      <c r="I23" s="9">
        <v>0</v>
      </c>
      <c r="J23" s="9">
        <v>990.0000</v>
      </c>
      <c r="K23" s="9">
        <v>0</v>
      </c>
      <c r="L23" s="9">
        <v>0</v>
      </c>
      <c r="M23" s="9">
        <v>990.0000</v>
      </c>
      <c r="N23" s="9">
        <v>6360.0000</v>
      </c>
    </row>
    <row r="24" ht="10.55" customHeight="true">
      <c r="A24" s="8" t="s">
        <v>32</v>
      </c>
      <c r="B24" s="9">
        <v>0</v>
      </c>
      <c r="C24" s="9">
        <v>0</v>
      </c>
      <c r="D24" s="9">
        <v>0</v>
      </c>
      <c r="E24" s="9">
        <v>7691.7500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7691.7500</v>
      </c>
    </row>
    <row r="25" ht="10.55" customHeight="true">
      <c r="A25" s="8" t="s">
        <v>33</v>
      </c>
      <c r="B25" s="9">
        <v>0</v>
      </c>
      <c r="C25" s="9">
        <v>0</v>
      </c>
      <c r="D25" s="9">
        <v>300.0000</v>
      </c>
      <c r="E25" s="9">
        <v>22200.0000</v>
      </c>
      <c r="F25" s="9">
        <v>0</v>
      </c>
      <c r="G25" s="9">
        <v>2000.0000</v>
      </c>
      <c r="H25" s="9">
        <v>600.0000</v>
      </c>
      <c r="I25" s="9">
        <v>0</v>
      </c>
      <c r="J25" s="9">
        <v>600.0000</v>
      </c>
      <c r="K25" s="9">
        <v>0</v>
      </c>
      <c r="L25" s="9">
        <v>0</v>
      </c>
      <c r="M25" s="9">
        <v>0</v>
      </c>
      <c r="N25" s="9">
        <v>25700.0000</v>
      </c>
    </row>
    <row r="26" ht="10.55" customHeight="true">
      <c r="A26" s="8" t="s">
        <v>34</v>
      </c>
      <c r="B26" s="9">
        <v>0</v>
      </c>
      <c r="C26" s="9">
        <v>0</v>
      </c>
      <c r="D26" s="9">
        <v>0</v>
      </c>
      <c r="E26" s="9">
        <v>0</v>
      </c>
      <c r="F26" s="9">
        <v>500.0000</v>
      </c>
      <c r="G26" s="9">
        <v>1500.0000</v>
      </c>
      <c r="H26" s="9">
        <v>0</v>
      </c>
      <c r="I26" s="9">
        <v>0</v>
      </c>
      <c r="J26" s="9">
        <v>500.0000</v>
      </c>
      <c r="K26" s="9">
        <v>0</v>
      </c>
      <c r="L26" s="9">
        <v>0</v>
      </c>
      <c r="M26" s="9">
        <v>0</v>
      </c>
      <c r="N26" s="9">
        <v>2500.0000</v>
      </c>
    </row>
    <row r="27" ht="10.55" customHeight="true">
      <c r="A27" s="8" t="s">
        <v>35</v>
      </c>
      <c r="B27" s="9">
        <v>2400.0000</v>
      </c>
      <c r="C27" s="9">
        <v>0</v>
      </c>
      <c r="D27" s="9">
        <v>1835.0000</v>
      </c>
      <c r="E27" s="9">
        <v>34416.0000</v>
      </c>
      <c r="F27" s="9">
        <v>9389.5000</v>
      </c>
      <c r="G27" s="9">
        <v>560.0000</v>
      </c>
      <c r="H27" s="9">
        <v>0</v>
      </c>
      <c r="I27" s="9">
        <v>0</v>
      </c>
      <c r="J27" s="9">
        <v>929.7500</v>
      </c>
      <c r="K27" s="9">
        <v>9800.0000</v>
      </c>
      <c r="L27" s="9">
        <v>0</v>
      </c>
      <c r="M27" s="9">
        <v>0</v>
      </c>
      <c r="N27" s="9">
        <v>59330.2500</v>
      </c>
    </row>
    <row r="28" ht="10.55" customHeight="true">
      <c r="A28" s="8" t="s">
        <v>36</v>
      </c>
      <c r="B28" s="9">
        <v>23247.6500</v>
      </c>
      <c r="C28" s="9">
        <v>24185.0500</v>
      </c>
      <c r="D28" s="9">
        <v>25060.3600</v>
      </c>
      <c r="E28" s="9">
        <v>29528.6800</v>
      </c>
      <c r="F28" s="9">
        <v>30080.6600</v>
      </c>
      <c r="G28" s="9">
        <v>35918.1200</v>
      </c>
      <c r="H28" s="9">
        <v>23286.2200</v>
      </c>
      <c r="I28" s="9">
        <v>24235.0000</v>
      </c>
      <c r="J28" s="9">
        <v>28605.5400</v>
      </c>
      <c r="K28" s="9">
        <v>27249.2200</v>
      </c>
      <c r="L28" s="9">
        <v>28120.9800</v>
      </c>
      <c r="M28" s="9">
        <v>26609.9700</v>
      </c>
      <c r="N28" s="9">
        <v>326127.4500</v>
      </c>
    </row>
    <row r="29" ht="10.55" customHeight="true">
      <c r="A29" s="8" t="s">
        <v>37</v>
      </c>
      <c r="B29" s="9">
        <v>200000.0000</v>
      </c>
      <c r="C29" s="9">
        <v>50000.0000</v>
      </c>
      <c r="D29" s="9">
        <v>40123.0000</v>
      </c>
      <c r="E29" s="9">
        <v>60000.0000</v>
      </c>
      <c r="F29" s="9">
        <v>0</v>
      </c>
      <c r="G29" s="9">
        <v>0</v>
      </c>
      <c r="H29" s="9">
        <v>8200.0000</v>
      </c>
      <c r="I29" s="9">
        <v>0</v>
      </c>
      <c r="J29" s="9">
        <v>0</v>
      </c>
      <c r="K29" s="9">
        <v>6000.0000</v>
      </c>
      <c r="L29" s="9">
        <v>0</v>
      </c>
      <c r="M29" s="9">
        <v>0</v>
      </c>
      <c r="N29" s="9">
        <v>364323.0000</v>
      </c>
    </row>
    <row r="30" ht="10.55" customHeight="true">
      <c r="A30" s="8" t="s">
        <v>38</v>
      </c>
      <c r="B30" s="9">
        <v>9.0000</v>
      </c>
      <c r="C30" s="9">
        <v>9.0000</v>
      </c>
      <c r="D30" s="9">
        <v>27.0000</v>
      </c>
      <c r="E30" s="9">
        <v>66.5000</v>
      </c>
      <c r="F30" s="9">
        <v>50.0000</v>
      </c>
      <c r="G30" s="9">
        <v>10.0000</v>
      </c>
      <c r="H30" s="9">
        <v>10.0000</v>
      </c>
      <c r="I30" s="9">
        <v>20.0000</v>
      </c>
      <c r="J30" s="9">
        <v>56.0000</v>
      </c>
      <c r="K30" s="9">
        <v>825.5000</v>
      </c>
      <c r="L30" s="9">
        <v>24.0000</v>
      </c>
      <c r="M30" s="9">
        <v>12.0000</v>
      </c>
      <c r="N30" s="9">
        <v>1119.0000</v>
      </c>
    </row>
    <row r="31" ht="10.55" customHeight="true">
      <c r="A31" s="8" t="s">
        <v>39</v>
      </c>
      <c r="B31" s="9">
        <v>300.0000</v>
      </c>
      <c r="C31" s="9">
        <v>0</v>
      </c>
      <c r="D31" s="9">
        <v>0</v>
      </c>
      <c r="E31" s="9">
        <v>900.0000</v>
      </c>
      <c r="F31" s="9">
        <v>0</v>
      </c>
      <c r="G31" s="9">
        <v>0</v>
      </c>
      <c r="H31" s="9">
        <v>900.0000</v>
      </c>
      <c r="I31" s="9">
        <v>0</v>
      </c>
      <c r="J31" s="9">
        <v>0</v>
      </c>
      <c r="K31" s="9">
        <v>0</v>
      </c>
      <c r="L31" s="9">
        <v>0</v>
      </c>
      <c r="M31" s="9">
        <v>3300.0000</v>
      </c>
      <c r="N31" s="9">
        <v>5400.0000</v>
      </c>
    </row>
    <row r="32" ht="10.55" customHeight="true">
      <c r="A32" s="8" t="s">
        <v>40</v>
      </c>
      <c r="B32" s="9">
        <v>18000.0000</v>
      </c>
      <c r="C32" s="9">
        <v>0</v>
      </c>
      <c r="D32" s="9">
        <v>17162.7400</v>
      </c>
      <c r="E32" s="9">
        <v>2040.0000</v>
      </c>
      <c r="F32" s="9">
        <v>1640.0000</v>
      </c>
      <c r="G32" s="9">
        <v>17284.8700</v>
      </c>
      <c r="H32" s="9">
        <v>1620.0000</v>
      </c>
      <c r="I32" s="9">
        <v>1620.0000</v>
      </c>
      <c r="J32" s="9">
        <v>15403.7900</v>
      </c>
      <c r="K32" s="9">
        <v>2040.0000</v>
      </c>
      <c r="L32" s="9">
        <v>2040.0000</v>
      </c>
      <c r="M32" s="9">
        <v>17443.0000</v>
      </c>
      <c r="N32" s="9">
        <v>96294.4000</v>
      </c>
    </row>
    <row r="33" ht="10.55" customHeight="true">
      <c r="A33" s="8" t="s">
        <v>41</v>
      </c>
      <c r="B33" s="9">
        <v>0</v>
      </c>
      <c r="C33" s="9">
        <v>500.0000</v>
      </c>
      <c r="D33" s="9">
        <v>300.0000</v>
      </c>
      <c r="E33" s="9">
        <v>800.0000</v>
      </c>
      <c r="F33" s="9">
        <v>1000.0000</v>
      </c>
      <c r="G33" s="9">
        <v>600.0000</v>
      </c>
      <c r="H33" s="9">
        <v>0</v>
      </c>
      <c r="I33" s="9">
        <v>0</v>
      </c>
      <c r="J33" s="9">
        <v>600.0000</v>
      </c>
      <c r="K33" s="9">
        <v>0</v>
      </c>
      <c r="L33" s="9">
        <v>500.0000</v>
      </c>
      <c r="M33" s="9">
        <v>500.0000</v>
      </c>
      <c r="N33" s="9">
        <v>4800.0000</v>
      </c>
    </row>
    <row r="34" ht="10.55" customHeight="true">
      <c r="A34" s="8" t="s">
        <v>42</v>
      </c>
      <c r="B34" s="9">
        <v>21300.0000</v>
      </c>
      <c r="C34" s="9">
        <v>26900.0000</v>
      </c>
      <c r="D34" s="9">
        <v>23000.0000</v>
      </c>
      <c r="E34" s="9">
        <v>33900.0000</v>
      </c>
      <c r="F34" s="9">
        <v>23000.0000</v>
      </c>
      <c r="G34" s="9">
        <v>23000.0000</v>
      </c>
      <c r="H34" s="9">
        <v>23000.0000</v>
      </c>
      <c r="I34" s="9">
        <v>23000.0000</v>
      </c>
      <c r="J34" s="9">
        <v>26900.0000</v>
      </c>
      <c r="K34" s="9">
        <v>23000.0000</v>
      </c>
      <c r="L34" s="9">
        <v>23000.0000</v>
      </c>
      <c r="M34" s="9">
        <v>26900.0000</v>
      </c>
      <c r="N34" s="9">
        <v>296900.0000</v>
      </c>
    </row>
    <row r="35" ht="10.55" customHeight="true">
      <c r="A35" s="8" t="s">
        <v>43</v>
      </c>
      <c r="B35" s="9">
        <v>9389.1600</v>
      </c>
      <c r="C35" s="9">
        <v>9469.0800</v>
      </c>
      <c r="D35" s="9">
        <v>8544.8500</v>
      </c>
      <c r="E35" s="9">
        <v>10181.7300</v>
      </c>
      <c r="F35" s="9">
        <v>9642.0000</v>
      </c>
      <c r="G35" s="9">
        <v>0</v>
      </c>
      <c r="H35" s="9">
        <v>7654.0600</v>
      </c>
      <c r="I35" s="9">
        <v>8351.9400</v>
      </c>
      <c r="J35" s="9">
        <v>9853.0000</v>
      </c>
      <c r="K35" s="9">
        <v>10097.6400</v>
      </c>
      <c r="L35" s="9">
        <v>10833.4700</v>
      </c>
      <c r="M35" s="9">
        <v>0</v>
      </c>
      <c r="N35" s="9">
        <v>94016.9300</v>
      </c>
    </row>
    <row r="36" ht="10.55" customHeight="true">
      <c r="A36" s="10" t="s">
        <v>44</v>
      </c>
      <c r="B36" s="11">
        <f ca="1">SUM(B15:B35)</f>
        <v>0</v>
      </c>
      <c r="C36" s="11">
        <f ca="1">SUM(C15:C35)</f>
        <v>0</v>
      </c>
      <c r="D36" s="11">
        <f ca="1">SUM(D15:D35)</f>
        <v>0</v>
      </c>
      <c r="E36" s="11">
        <f ca="1">SUM(E15:E35)</f>
        <v>0</v>
      </c>
      <c r="F36" s="11">
        <f ca="1">SUM(F15:F35)</f>
        <v>0</v>
      </c>
      <c r="G36" s="11">
        <f ca="1">SUM(G15:G35)</f>
        <v>0</v>
      </c>
      <c r="H36" s="11">
        <f ca="1">SUM(H15:H35)</f>
        <v>0</v>
      </c>
      <c r="I36" s="11">
        <f ca="1">SUM(I15:I35)</f>
        <v>0</v>
      </c>
      <c r="J36" s="11">
        <f ca="1">SUM(J15:J35)</f>
        <v>0</v>
      </c>
      <c r="K36" s="11">
        <f ca="1">SUM(K15:K35)</f>
        <v>0</v>
      </c>
      <c r="L36" s="11">
        <f ca="1">SUM(L15:L35)</f>
        <v>0</v>
      </c>
      <c r="M36" s="11">
        <f ca="1">SUM(M15:M35)</f>
        <v>0</v>
      </c>
      <c r="N36" s="11">
        <f ca="1">SUM(N15:N35)</f>
        <v>0</v>
      </c>
    </row>
    <row r="37" ht="13.35" customHeight="true"/>
    <row r="38" ht="10.55" customHeight="true">
      <c r="A38" s="12" t="s">
        <v>45</v>
      </c>
      <c r="B38" s="13">
        <f ca="1">((B12 + 0) - B36)</f>
        <v>0</v>
      </c>
      <c r="C38" s="13">
        <f ca="1">((C12 + 0) - C36)</f>
        <v>0</v>
      </c>
      <c r="D38" s="13">
        <f ca="1">((D12 + 0) - D36)</f>
        <v>0</v>
      </c>
      <c r="E38" s="13">
        <f ca="1">((E12 + 0) - E36)</f>
        <v>0</v>
      </c>
      <c r="F38" s="13">
        <f ca="1">((F12 + 0) - F36)</f>
        <v>0</v>
      </c>
      <c r="G38" s="13">
        <f ca="1">((G12 + 0) - G36)</f>
        <v>0</v>
      </c>
      <c r="H38" s="13">
        <f ca="1">((H12 + 0) - H36)</f>
        <v>0</v>
      </c>
      <c r="I38" s="13">
        <f ca="1">((I12 + 0) - I36)</f>
        <v>0</v>
      </c>
      <c r="J38" s="13">
        <f ca="1">((J12 + 0) - J36)</f>
        <v>0</v>
      </c>
      <c r="K38" s="13">
        <f ca="1">((K12 + 0) - K36)</f>
        <v>0</v>
      </c>
      <c r="L38" s="13">
        <f ca="1">((L12 + 0) - L36)</f>
        <v>0</v>
      </c>
      <c r="M38" s="13">
        <f ca="1">((M12 + 0) - M36)</f>
        <v>0</v>
      </c>
      <c r="N38" s="13">
        <f ca="1">((N12 + 0) - N36)</f>
        <v>0</v>
      </c>
    </row>
  </sheetData>
  <mergeCells count="5">
    <mergeCell ref="A1:N1"/>
    <mergeCell ref="A2:N2"/>
    <mergeCell ref="A3:N3"/>
    <mergeCell ref="A7:N7"/>
    <mergeCell ref="A14:N14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